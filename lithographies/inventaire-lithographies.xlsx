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Tableau de bord" sheetId="2" state="visible" r:id="rId2"/>
    <sheet name="Inventaire" sheetId="3" state="visible" r:id="rId3"/>
    <sheet name="Repères de prix" sheetId="4" state="visible" r:id="rId4"/>
    <sheet name="Plan de vente" sheetId="5" state="visible" r:id="rId5"/>
  </sheets>
  <definedNames>
    <definedName name="_xlnm._FilterDatabase" localSheetId="2" hidden="1">'Inventaire'!$A$1:$AD$401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(#,##0 &quot;€&quot;);-"/>
    <numFmt numFmtId="165" formatCode="DD/MM/YYYY"/>
    <numFmt numFmtId="166" formatCode="0.0%;(0.0%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DF2F9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6" borderId="0" pivotButton="0" quotePrefix="0" xfId="0"/>
    <xf numFmtId="0" fontId="0" fillId="6" borderId="0" pivotButton="0" quotePrefix="0" xfId="0"/>
    <xf numFmtId="3" fontId="4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center"/>
    </xf>
    <xf numFmtId="3" fontId="4" fillId="0" borderId="0" pivotButton="0" quotePrefix="0" xfId="0"/>
    <xf numFmtId="164" fontId="4" fillId="0" borderId="0" pivotButton="0" quotePrefix="0" xfId="0"/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164" fontId="4" fillId="0" borderId="0" applyAlignment="1" pivotButton="0" quotePrefix="0" xfId="0">
      <alignment horizontal="right"/>
    </xf>
    <xf numFmtId="164" fontId="5" fillId="4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164" fontId="7" fillId="3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Inventaire</author>
  </authors>
  <commentList>
    <comment ref="A1" authorId="0" shapeId="0">
      <text>
        <t>Une ligne par ŒUVRE. Suggestion de réf : TOF-001, WEI-001... (3 lettres de l'artiste + numéro).</t>
      </text>
    </comment>
    <comment ref="O1" authorId="0" shapeId="0">
      <text>
        <t>Nombre d'exemplaires du MÊME tirage que tu possèdes. Mets 1 s'il est unique chez toi.</t>
      </text>
    </comment>
    <comment ref="R1" authorId="0" shapeId="0">
      <text>
        <t>Test à la loupe x10 ou macro du téléphone : une vraie lithographie montre un grain irrégulier et des aplats continus. Un offset montre une trame régulière de points (rosettes). C'est LE facteur qui décide du prix.</t>
      </text>
    </comment>
    <comment ref="T1" authorId="0" shapeId="0">
      <text>
        <t>Prix en dessous duquel tu refuses de vendre. Décide-le une fois, tiens-le.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>
      <c r="B1" s="1" t="inlineStr">
        <is>
          <t>Inventaire &amp; plan de vente — collection de lithographies</t>
        </is>
      </c>
    </row>
    <row r="2">
      <c r="B2" s="2" t="inlineStr">
        <is>
          <t>Environ 300 estampes signées et numérotées, 56 x 76 cm, en feuilles — Paris</t>
        </is>
      </c>
    </row>
    <row r="4">
      <c r="B4" s="3" t="inlineStr">
        <is>
          <t>Comment utiliser ce classeur</t>
        </is>
      </c>
      <c r="C4" s="4" t="inlineStr"/>
    </row>
    <row r="5" ht="30" customHeight="1">
      <c r="B5" s="5" t="inlineStr">
        <is>
          <t>Onglet « Inventaire »</t>
        </is>
      </c>
      <c r="C5" s="6" t="inlineStr">
        <is>
          <t>Une ligne par ŒUVRE (pas par exemplaire). La colonne « Nb exemplaires » gère les doubles. Les cellules à remplir sont en jaune ; le reste se calcule tout seul.</t>
        </is>
      </c>
    </row>
    <row r="6" ht="30" customHeight="1">
      <c r="B6" s="5" t="inlineStr">
        <is>
          <t>Onglet « Repères de prix »</t>
        </is>
      </c>
      <c r="C6" s="6" t="inlineStr">
        <is>
          <t>Prix réellement observés sur le marché (adjudications, annonces). À lire AVANT de fixer un prix cible.</t>
        </is>
      </c>
    </row>
    <row r="7" ht="30" customHeight="1">
      <c r="B7" s="5" t="inlineStr">
        <is>
          <t>Onglet « Tableau de bord »</t>
        </is>
      </c>
      <c r="C7" s="6" t="inlineStr">
        <is>
          <t>Se met à jour seul. Donne le nombre de pièces par segment, la valeur cible et le net réellement encaissé.</t>
        </is>
      </c>
    </row>
    <row r="8" ht="30" customHeight="1">
      <c r="B8" s="5" t="inlineStr">
        <is>
          <t>Onglet « Plan de vente »</t>
        </is>
      </c>
      <c r="C8" s="6" t="inlineStr">
        <is>
          <t>L'ordre des opérations, semaine par semaine.</t>
        </is>
      </c>
    </row>
    <row r="10">
      <c r="B10" s="3" t="inlineStr">
        <is>
          <t>Les 3 segments (colonne R de l'Inventaire)</t>
        </is>
      </c>
      <c r="C10" s="4" t="inlineStr"/>
    </row>
    <row r="11" ht="30" customHeight="1">
      <c r="B11" s="5" t="inlineStr">
        <is>
          <t>A — Pièce forte</t>
        </is>
      </c>
      <c r="C11" s="6" t="inlineStr">
        <is>
          <t>Artiste coté, sujet recherché (musiciens, maternités, marines, cavaliers), exemplaire unique chez toi, petit tirage. Vente à l'unité, au prix fort, sans se presser.</t>
        </is>
      </c>
    </row>
    <row r="12" ht="30" customHeight="1">
      <c r="B12" s="5" t="inlineStr">
        <is>
          <t>B — Courant</t>
        </is>
      </c>
      <c r="C12" s="6" t="inlineStr">
        <is>
          <t>Artiste connu mais sujet banal ou gros tirage (250-300). Vente à l'unité mais prix agressif, ou lots de 2-3.</t>
        </is>
      </c>
    </row>
    <row r="13" ht="30" customHeight="1">
      <c r="B13" s="5" t="inlineStr">
        <is>
          <t>C — Volume / doubles</t>
        </is>
      </c>
      <c r="C13" s="6" t="inlineStr">
        <is>
          <t>Doubles, artistes non cotés, sujets difficiles. Lots de 5 à 20, ou cession en bloc à un marchand.</t>
        </is>
      </c>
    </row>
    <row r="15">
      <c r="B15" s="3" t="inlineStr">
        <is>
          <t>Règles d'or</t>
        </is>
      </c>
      <c r="C15" s="4" t="inlineStr"/>
    </row>
    <row r="16" ht="30" customHeight="1">
      <c r="B16" s="5" t="inlineStr">
        <is>
          <t>Ne jamais inonder</t>
        </is>
      </c>
      <c r="C16" s="6" t="inlineStr">
        <is>
          <t>Ne mets JAMAIS deux exemplaires de la même image en ligne en même temps, ni 50 œuvres du même artiste la même semaine. Tu ferais chuter ton propre marché. Rythme : 5 à 10 annonces actives maximum.</t>
        </is>
      </c>
    </row>
    <row r="17" ht="30" customHeight="1">
      <c r="B17" s="5" t="inlineStr">
        <is>
          <t>Prix plancher</t>
        </is>
      </c>
      <c r="C17" s="6" t="inlineStr">
        <is>
          <t>Fixe-le AVANT de publier et ne descends pas en dessous. Sinon tu négocieras dans le vide 300 fois.</t>
        </is>
      </c>
    </row>
    <row r="18" ht="30" customHeight="1">
      <c r="B18" s="5" t="inlineStr">
        <is>
          <t>Test avant volume</t>
        </is>
      </c>
      <c r="C18" s="6" t="inlineStr">
        <is>
          <t>Vends d'abord 8-10 pièces représentatives. Les prix obtenus deviennent ta grille de référence pour les 290 autres.</t>
        </is>
      </c>
    </row>
    <row r="19" ht="30" customHeight="1">
      <c r="B19" s="5" t="inlineStr">
        <is>
          <t>Jamais d'expertise payante</t>
        </is>
      </c>
      <c r="C19" s="6" t="inlineStr">
        <is>
          <t>Les sites « estimation gratuite » sont des apporteurs d'affaires. Une maison de ventes sérieuse estime gratuitement.</t>
        </is>
      </c>
    </row>
    <row r="21">
      <c r="B21" s="3" t="inlineStr">
        <is>
          <t>Code couleur</t>
        </is>
      </c>
      <c r="C21" s="4" t="inlineStr"/>
    </row>
    <row r="22" ht="30" customHeight="1">
      <c r="B22" s="5" t="inlineStr">
        <is>
          <t>Fond jaune</t>
        </is>
      </c>
      <c r="C22" s="6" t="inlineStr">
        <is>
          <t>À remplir par toi.</t>
        </is>
      </c>
    </row>
    <row r="23" ht="30" customHeight="1">
      <c r="B23" s="5" t="inlineStr">
        <is>
          <t>Texte bleu</t>
        </is>
      </c>
      <c r="C23" s="6" t="inlineStr">
        <is>
          <t>Valeur saisie à la main (hypothèse, prix décidé).</t>
        </is>
      </c>
    </row>
    <row r="24" ht="30" customHeight="1">
      <c r="B24" s="5" t="inlineStr">
        <is>
          <t>Texte noir</t>
        </is>
      </c>
      <c r="C24" s="6" t="inlineStr">
        <is>
          <t>Formule — ne pas écraser.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8" customWidth="1" min="5" max="5"/>
    <col width="4" customWidth="1" min="6" max="6"/>
    <col width="60" customWidth="1" min="7" max="7"/>
  </cols>
  <sheetData>
    <row r="1">
      <c r="B1" s="1" t="inlineStr">
        <is>
          <t>Tableau de bord</t>
        </is>
      </c>
    </row>
    <row r="2">
      <c r="B2" s="2" t="inlineStr">
        <is>
          <t>Tout se calcule depuis l'onglet Inventaire. Rien à saisir ici.</t>
        </is>
      </c>
    </row>
    <row r="4">
      <c r="B4" s="7" t="inlineStr">
        <is>
          <t>Volume</t>
        </is>
      </c>
      <c r="C4" s="8" t="n"/>
      <c r="D4" s="8" t="n"/>
      <c r="E4" s="8" t="n"/>
    </row>
    <row r="5">
      <c r="B5" s="4" t="inlineStr">
        <is>
          <t>Œuvres différentes référencées</t>
        </is>
      </c>
      <c r="C5" s="9">
        <f>COUNTA(Inventaire!$A$2:$A$401)</f>
        <v/>
      </c>
    </row>
    <row r="6">
      <c r="B6" s="4" t="inlineStr">
        <is>
          <t>Exemplaires au total (doubles inclus)</t>
        </is>
      </c>
      <c r="C6" s="9">
        <f>SUM(Inventaire!$O$2:$O$401)</f>
        <v/>
      </c>
    </row>
    <row r="7">
      <c r="B7" s="4" t="inlineStr">
        <is>
          <t>Photographiées et prêtes</t>
        </is>
      </c>
      <c r="C7" s="9">
        <f>COUNTIFS(Inventaire!$Q$2:$Q$401,"Oui")</f>
        <v/>
      </c>
    </row>
    <row r="8">
      <c r="B8" s="4" t="inlineStr">
        <is>
          <t>Vérifiées à la loupe (litho confirmée)</t>
        </is>
      </c>
      <c r="C8" s="9">
        <f>COUNTIFS(Inventaire!$R$2:$R$401,"Oui — litho")</f>
        <v/>
      </c>
    </row>
    <row r="10">
      <c r="B10" s="7" t="inlineStr">
        <is>
          <t>Répartition par segment</t>
        </is>
      </c>
      <c r="C10" s="10" t="inlineStr">
        <is>
          <t>Œuvres</t>
        </is>
      </c>
      <c r="D10" s="10" t="inlineStr">
        <is>
          <t>Exemplaires</t>
        </is>
      </c>
      <c r="E10" s="10" t="inlineStr">
        <is>
          <t>Valeur cible</t>
        </is>
      </c>
    </row>
    <row r="11">
      <c r="B11" s="4" t="inlineStr">
        <is>
          <t>A — Pièces fortes</t>
        </is>
      </c>
      <c r="C11" s="11">
        <f>COUNTIFS(Inventaire!$S$2:$S$401,"A")</f>
        <v/>
      </c>
      <c r="D11" s="11">
        <f>SUMIFS(Inventaire!$O$2:$O$401,Inventaire!$S$2:$S$401,"A")</f>
        <v/>
      </c>
      <c r="E11" s="12">
        <f>SUMIFS(Inventaire!$V$2:$V$401,Inventaire!$S$2:$S$401,"A")</f>
        <v/>
      </c>
    </row>
    <row r="12">
      <c r="B12" s="4" t="inlineStr">
        <is>
          <t>B — Courant</t>
        </is>
      </c>
      <c r="C12" s="11">
        <f>COUNTIFS(Inventaire!$S$2:$S$401,"B")</f>
        <v/>
      </c>
      <c r="D12" s="11">
        <f>SUMIFS(Inventaire!$O$2:$O$401,Inventaire!$S$2:$S$401,"B")</f>
        <v/>
      </c>
      <c r="E12" s="12">
        <f>SUMIFS(Inventaire!$V$2:$V$401,Inventaire!$S$2:$S$401,"B")</f>
        <v/>
      </c>
    </row>
    <row r="13">
      <c r="B13" s="4" t="inlineStr">
        <is>
          <t>C — Volume / doubles</t>
        </is>
      </c>
      <c r="C13" s="11">
        <f>COUNTIFS(Inventaire!$S$2:$S$401,"C")</f>
        <v/>
      </c>
      <c r="D13" s="11">
        <f>SUMIFS(Inventaire!$O$2:$O$401,Inventaire!$S$2:$S$401,"C")</f>
        <v/>
      </c>
      <c r="E13" s="12">
        <f>SUMIFS(Inventaire!$V$2:$V$401,Inventaire!$S$2:$S$401,"C")</f>
        <v/>
      </c>
    </row>
    <row r="14">
      <c r="B14" s="13" t="inlineStr">
        <is>
          <t>Total</t>
        </is>
      </c>
      <c r="C14" s="14">
        <f>SUM(C11:C13)</f>
        <v/>
      </c>
      <c r="D14" s="14">
        <f>SUM(D11:D13)</f>
        <v/>
      </c>
      <c r="E14" s="15">
        <f>SUM(E11:E13)</f>
        <v/>
      </c>
    </row>
    <row r="16">
      <c r="B16" s="7" t="inlineStr">
        <is>
          <t>Avancement</t>
        </is>
      </c>
      <c r="C16" s="8" t="n"/>
      <c r="D16" s="8" t="n"/>
      <c r="E16" s="8" t="n"/>
    </row>
    <row r="17">
      <c r="B17" s="4" t="inlineStr">
        <is>
          <t>En ligne actuellement</t>
        </is>
      </c>
      <c r="C17" s="9">
        <f>COUNTIFS(Inventaire!$X$2:$X$401,"En ligne")</f>
        <v/>
      </c>
      <c r="G17" s="2" t="inlineStr">
        <is>
          <t>Garde ce chiffre entre 5 et 10. Au-delà, tu casses tes propres prix.</t>
        </is>
      </c>
    </row>
    <row r="18">
      <c r="B18" s="4" t="inlineStr">
        <is>
          <t>Vendues</t>
        </is>
      </c>
      <c r="C18" s="9">
        <f>COUNTIFS(Inventaire!$X$2:$X$401,"VENDUE")</f>
        <v/>
      </c>
    </row>
    <row r="19">
      <c r="B19" s="4" t="inlineStr">
        <is>
          <t>Invendues / retirées</t>
        </is>
      </c>
      <c r="C19" s="9">
        <f>COUNTIFS(Inventaire!$X$2:$X$401,"Invendue")+COUNTIFS(Inventaire!$X$2:$X$401,"Retirée")</f>
        <v/>
      </c>
    </row>
    <row r="21">
      <c r="B21" s="7" t="inlineStr">
        <is>
          <t>Argent</t>
        </is>
      </c>
      <c r="C21" s="8" t="n"/>
      <c r="D21" s="8" t="n"/>
      <c r="E21" s="8" t="n"/>
    </row>
    <row r="22">
      <c r="B22" s="4" t="inlineStr">
        <is>
          <t>Chiffre d'affaires brut</t>
        </is>
      </c>
      <c r="C22" s="16">
        <f>SUM(Inventaire!$Z$2:$Z$401)</f>
        <v/>
      </c>
    </row>
    <row r="23">
      <c r="B23" s="4" t="inlineStr">
        <is>
          <t>Frais et ports payés</t>
        </is>
      </c>
      <c r="C23" s="16">
        <f>SUM(Inventaire!$AA$2:$AA$401)</f>
        <v/>
      </c>
    </row>
    <row r="24">
      <c r="B24" s="13" t="inlineStr">
        <is>
          <t>Net réellement encaissé</t>
        </is>
      </c>
      <c r="C24" s="17">
        <f>SUM(Inventaire!$AB$2:$AB$401)</f>
        <v/>
      </c>
    </row>
    <row r="25">
      <c r="B25" s="4" t="inlineStr">
        <is>
          <t>Prix net moyen par pièce vendue</t>
        </is>
      </c>
      <c r="C25" s="16">
        <f>IFERROR(SUM(Inventaire!$AB$2:$AB$401)/COUNTIFS(Inventaire!$X$2:$X$401,"VENDUE"),0)</f>
        <v/>
      </c>
    </row>
    <row r="26">
      <c r="B26" s="4" t="inlineStr">
        <is>
          <t>Réalisé / valeur cible totale</t>
        </is>
      </c>
      <c r="C26" s="18">
        <f>IFERROR(C24/E14,0)</f>
        <v/>
      </c>
      <c r="G26" s="2" t="inlineStr">
        <is>
          <t>Sous 60 %, tes prix cibles sont trop optimistes : révise-les.</t>
        </is>
      </c>
    </row>
    <row r="28">
      <c r="B28" s="7" t="inlineStr">
        <is>
          <t>Seuil fiscal à surveiller (France)</t>
        </is>
      </c>
      <c r="C28" s="8" t="n"/>
      <c r="D28" s="8" t="n"/>
      <c r="E28" s="8" t="n"/>
    </row>
    <row r="29">
      <c r="B29" s="4" t="inlineStr">
        <is>
          <t>Ventes individuelles &gt; 5 000 €</t>
        </is>
      </c>
      <c r="C29" s="9">
        <f>COUNTIFS(Inventaire!$Z$2:$Z$401,"&gt;5000")</f>
        <v/>
      </c>
      <c r="G29" s="19" t="inlineStr">
        <is>
          <t>Au-delà de 5 000 € par cession : taxe forfaitaire de 6,5 % sur le prix de vente (ou option plus-value). En dessous : exonéré.</t>
        </is>
      </c>
    </row>
    <row r="30">
      <c r="B30" s="4" t="inlineStr">
        <is>
          <t>Nombre de ventes sur l'année</t>
        </is>
      </c>
      <c r="C30" s="9">
        <f>COUNTIFS(Inventaire!$X$2:$X$401,"VENDUE")</f>
        <v/>
      </c>
      <c r="G30" s="19" t="inlineStr">
        <is>
          <t>Au-delà de 30 ventes OU 2 000 € par plateforme et par an, la plateforme transmet tes données au fisc (DAC7). Ce n'est pas un impôt, mais anticipe-le.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8" customWidth="1" min="4" max="4"/>
    <col width="18" customWidth="1" min="5" max="5"/>
    <col width="13" customWidth="1" min="6" max="6"/>
    <col width="11" customWidth="1" min="7" max="7"/>
    <col width="14" customWidth="1" min="8" max="8"/>
    <col width="14" customWidth="1" min="9" max="9"/>
    <col width="15" customWidth="1" min="10" max="10"/>
    <col width="15" customWidth="1" min="11" max="11"/>
    <col width="14" customWidth="1" min="12" max="12"/>
    <col width="18" customWidth="1" min="13" max="13"/>
    <col width="11" customWidth="1" min="14" max="14"/>
    <col width="13" customWidth="1" min="15" max="15"/>
    <col width="12" customWidth="1" min="16" max="16"/>
    <col width="11" customWidth="1" min="17" max="17"/>
    <col width="18" customWidth="1" min="18" max="18"/>
    <col width="10" customWidth="1" min="19" max="19"/>
    <col width="15" customWidth="1" min="20" max="20"/>
    <col width="13" customWidth="1" min="21" max="21"/>
    <col width="18" customWidth="1" min="22" max="22"/>
    <col width="20" customWidth="1" min="23" max="23"/>
    <col width="16" customWidth="1" min="24" max="24"/>
    <col width="16" customWidth="1" min="25" max="25"/>
    <col width="13" customWidth="1" min="26" max="26"/>
    <col width="14" customWidth="1" min="27" max="27"/>
    <col width="15" customWidth="1" min="28" max="28"/>
    <col width="20" customWidth="1" min="29" max="29"/>
    <col width="40" customWidth="1" min="30" max="30"/>
  </cols>
  <sheetData>
    <row r="1" ht="34" customHeight="1">
      <c r="A1" s="20" t="inlineStr">
        <is>
          <t>Réf</t>
        </is>
      </c>
      <c r="B1" s="20" t="inlineStr">
        <is>
          <t>Artiste</t>
        </is>
      </c>
      <c r="C1" s="20" t="inlineStr">
        <is>
          <t>Titre</t>
        </is>
      </c>
      <c r="D1" s="20" t="inlineStr">
        <is>
          <t>Année</t>
        </is>
      </c>
      <c r="E1" s="20" t="inlineStr">
        <is>
          <t>Éditeur / atelier</t>
        </is>
      </c>
      <c r="F1" s="20" t="inlineStr">
        <is>
          <t>Numérotation</t>
        </is>
      </c>
      <c r="G1" s="20" t="inlineStr">
        <is>
          <t>Tirage total</t>
        </is>
      </c>
      <c r="H1" s="20" t="inlineStr">
        <is>
          <t>Type d'épreuve</t>
        </is>
      </c>
      <c r="I1" s="20" t="inlineStr">
        <is>
          <t>Signé au crayon</t>
        </is>
      </c>
      <c r="J1" s="20" t="inlineStr">
        <is>
          <t>Dim. feuille (cm)</t>
        </is>
      </c>
      <c r="K1" s="20" t="inlineStr">
        <is>
          <t>Dim. image (cm)</t>
        </is>
      </c>
      <c r="L1" s="20" t="inlineStr">
        <is>
          <t>Papier</t>
        </is>
      </c>
      <c r="M1" s="20" t="inlineStr">
        <is>
          <t>Timbre sec / cachet</t>
        </is>
      </c>
      <c r="N1" s="20" t="inlineStr">
        <is>
          <t>Certificat</t>
        </is>
      </c>
      <c r="O1" s="20" t="inlineStr">
        <is>
          <t>Nb exemplaires</t>
        </is>
      </c>
      <c r="P1" s="20" t="inlineStr">
        <is>
          <t>État</t>
        </is>
      </c>
      <c r="Q1" s="20" t="inlineStr">
        <is>
          <t>Photo faite</t>
        </is>
      </c>
      <c r="R1" s="20" t="inlineStr">
        <is>
          <t>Litho vérifiée (loupe)</t>
        </is>
      </c>
      <c r="S1" s="20" t="inlineStr">
        <is>
          <t>Segment</t>
        </is>
      </c>
      <c r="T1" s="20" t="inlineStr">
        <is>
          <t>Prix plancher (€)</t>
        </is>
      </c>
      <c r="U1" s="20" t="inlineStr">
        <is>
          <t>Prix cible (€)</t>
        </is>
      </c>
      <c r="V1" s="21" t="inlineStr">
        <is>
          <t>Valeur cible stock (€)</t>
        </is>
      </c>
      <c r="W1" s="20" t="inlineStr">
        <is>
          <t>Canal prévu</t>
        </is>
      </c>
      <c r="X1" s="20" t="inlineStr">
        <is>
          <t>Statut</t>
        </is>
      </c>
      <c r="Y1" s="20" t="inlineStr">
        <is>
          <t>Date mise en ligne</t>
        </is>
      </c>
      <c r="Z1" s="20" t="inlineStr">
        <is>
          <t>Prix vendu (€)</t>
        </is>
      </c>
      <c r="AA1" s="20" t="inlineStr">
        <is>
          <t>Frais + port (€)</t>
        </is>
      </c>
      <c r="AB1" s="21" t="inlineStr">
        <is>
          <t>Net encaissé (€)</t>
        </is>
      </c>
      <c r="AC1" s="20" t="inlineStr">
        <is>
          <t>Plateforme / acheteur</t>
        </is>
      </c>
      <c r="AD1" s="20" t="inlineStr">
        <is>
          <t>Notes</t>
        </is>
      </c>
    </row>
    <row r="2">
      <c r="A2" s="22" t="inlineStr">
        <is>
          <t>TOF-001</t>
        </is>
      </c>
      <c r="B2" s="22" t="inlineStr">
        <is>
          <t>Louis Toffoli</t>
        </is>
      </c>
      <c r="C2" s="22" t="inlineStr">
        <is>
          <t>Le Bal musette</t>
        </is>
      </c>
      <c r="D2" s="22" t="inlineStr"/>
      <c r="E2" s="22" t="inlineStr">
        <is>
          <t>Visions Nouvelles (à confirmer)</t>
        </is>
      </c>
      <c r="F2" s="22" t="inlineStr">
        <is>
          <t>134/250</t>
        </is>
      </c>
      <c r="G2" s="22" t="n">
        <v>250</v>
      </c>
      <c r="H2" s="22" t="inlineStr">
        <is>
          <t>Numérotée</t>
        </is>
      </c>
      <c r="I2" s="22" t="inlineStr">
        <is>
          <t>Oui</t>
        </is>
      </c>
      <c r="J2" s="22" t="inlineStr">
        <is>
          <t>56 x 76</t>
        </is>
      </c>
      <c r="K2" s="22" t="inlineStr"/>
      <c r="L2" s="22" t="inlineStr"/>
      <c r="M2" s="22" t="inlineStr"/>
      <c r="N2" s="22" t="inlineStr">
        <is>
          <t>Oui</t>
        </is>
      </c>
      <c r="O2" s="22" t="n">
        <v>1</v>
      </c>
      <c r="P2" s="22" t="inlineStr">
        <is>
          <t>Neuf</t>
        </is>
      </c>
      <c r="Q2" s="22" t="inlineStr">
        <is>
          <t>Non</t>
        </is>
      </c>
      <c r="R2" s="22" t="inlineStr">
        <is>
          <t>À faire</t>
        </is>
      </c>
      <c r="S2" s="22" t="inlineStr">
        <is>
          <t>A</t>
        </is>
      </c>
      <c r="T2" s="23" t="n">
        <v>150</v>
      </c>
      <c r="U2" s="23" t="n">
        <v>320</v>
      </c>
      <c r="V2" s="24">
        <f>IFERROR(O2*U2,0)</f>
        <v/>
      </c>
      <c r="W2" s="22" t="inlineStr">
        <is>
          <t>Enchères Drouot / eBay</t>
        </is>
      </c>
      <c r="X2" s="22" t="inlineStr">
        <is>
          <t>À photographier</t>
        </is>
      </c>
      <c r="Y2" s="25" t="inlineStr"/>
      <c r="Z2" s="26" t="n"/>
      <c r="AA2" s="26" t="n"/>
      <c r="AB2" s="24">
        <f>IFERROR(Z2-AA2,0)</f>
        <v/>
      </c>
      <c r="AC2" s="22" t="inlineStr"/>
      <c r="AD2" s="27" t="inlineStr">
        <is>
          <t>Musiciens : sujet le plus recherché chez Toffoli. Annotation crayon en marge : « 204/10/151 ».</t>
        </is>
      </c>
    </row>
    <row r="3">
      <c r="A3" s="22" t="inlineStr">
        <is>
          <t>TOF-002</t>
        </is>
      </c>
      <c r="B3" s="22" t="inlineStr">
        <is>
          <t>Louis Toffoli</t>
        </is>
      </c>
      <c r="C3" s="22" t="inlineStr">
        <is>
          <t>(sans titre) — personnage à l'établi</t>
        </is>
      </c>
      <c r="D3" s="22" t="inlineStr"/>
      <c r="E3" s="22" t="inlineStr">
        <is>
          <t>À confirmer</t>
        </is>
      </c>
      <c r="F3" s="22" t="inlineStr">
        <is>
          <t>à relever</t>
        </is>
      </c>
      <c r="G3" s="22" t="n"/>
      <c r="H3" s="22" t="inlineStr">
        <is>
          <t>Numérotée</t>
        </is>
      </c>
      <c r="I3" s="22" t="inlineStr">
        <is>
          <t>Oui</t>
        </is>
      </c>
      <c r="J3" s="22" t="inlineStr">
        <is>
          <t>56 x 76</t>
        </is>
      </c>
      <c r="K3" s="22" t="inlineStr"/>
      <c r="L3" s="22" t="inlineStr"/>
      <c r="M3" s="22" t="inlineStr"/>
      <c r="N3" s="22" t="inlineStr">
        <is>
          <t>Oui</t>
        </is>
      </c>
      <c r="O3" s="22" t="n">
        <v>1</v>
      </c>
      <c r="P3" s="22" t="inlineStr">
        <is>
          <t>Neuf</t>
        </is>
      </c>
      <c r="Q3" s="22" t="inlineStr">
        <is>
          <t>Non</t>
        </is>
      </c>
      <c r="R3" s="22" t="inlineStr">
        <is>
          <t>À faire</t>
        </is>
      </c>
      <c r="S3" s="22" t="inlineStr">
        <is>
          <t>B</t>
        </is>
      </c>
      <c r="T3" s="23" t="n">
        <v>90</v>
      </c>
      <c r="U3" s="23" t="n">
        <v>180</v>
      </c>
      <c r="V3" s="24">
        <f>IFERROR(O3*U3,0)</f>
        <v/>
      </c>
      <c r="W3" s="22" t="inlineStr">
        <is>
          <t>eBay / Le Bon Coin</t>
        </is>
      </c>
      <c r="X3" s="22" t="inlineStr">
        <is>
          <t>À photographier</t>
        </is>
      </c>
      <c r="Y3" s="25" t="inlineStr"/>
      <c r="Z3" s="26" t="n"/>
      <c r="AA3" s="26" t="n"/>
      <c r="AB3" s="24">
        <f>IFERROR(Z3-AA3,0)</f>
        <v/>
      </c>
      <c r="AC3" s="22" t="inlineStr"/>
      <c r="AD3" s="27" t="inlineStr">
        <is>
          <t>Relever la numérotation en bas à gauche.</t>
        </is>
      </c>
    </row>
    <row r="4">
      <c r="A4" s="22" t="inlineStr">
        <is>
          <t>XXX-001</t>
        </is>
      </c>
      <c r="B4" s="22" t="inlineStr">
        <is>
          <t>À IDENTIFIER</t>
        </is>
      </c>
      <c r="C4" s="22" t="inlineStr">
        <is>
          <t>Paysage pointilliste — cerisiers et reflets</t>
        </is>
      </c>
      <c r="D4" s="22" t="inlineStr"/>
      <c r="E4" s="22" t="inlineStr">
        <is>
          <t>À confirmer</t>
        </is>
      </c>
      <c r="F4" s="22" t="inlineStr">
        <is>
          <t>15/180</t>
        </is>
      </c>
      <c r="G4" s="22" t="n">
        <v>180</v>
      </c>
      <c r="H4" s="22" t="inlineStr">
        <is>
          <t>Numérotée</t>
        </is>
      </c>
      <c r="I4" s="22" t="inlineStr">
        <is>
          <t>Oui</t>
        </is>
      </c>
      <c r="J4" s="22" t="inlineStr">
        <is>
          <t>56 x 76</t>
        </is>
      </c>
      <c r="K4" s="22" t="inlineStr"/>
      <c r="L4" s="22" t="inlineStr">
        <is>
          <t>Vélin à bords barbés</t>
        </is>
      </c>
      <c r="M4" s="22" t="inlineStr"/>
      <c r="N4" s="22" t="inlineStr">
        <is>
          <t>Oui</t>
        </is>
      </c>
      <c r="O4" s="22" t="n">
        <v>1</v>
      </c>
      <c r="P4" s="22" t="inlineStr">
        <is>
          <t>Neuf</t>
        </is>
      </c>
      <c r="Q4" s="22" t="inlineStr">
        <is>
          <t>Non</t>
        </is>
      </c>
      <c r="R4" s="22" t="inlineStr">
        <is>
          <t>À faire</t>
        </is>
      </c>
      <c r="S4" s="22" t="inlineStr">
        <is>
          <t>B</t>
        </is>
      </c>
      <c r="T4" s="23" t="n">
        <v>80</v>
      </c>
      <c r="U4" s="23" t="n">
        <v>200</v>
      </c>
      <c r="V4" s="24">
        <f>IFERROR(O4*U4,0)</f>
        <v/>
      </c>
      <c r="W4" s="22" t="inlineStr">
        <is>
          <t>À déterminer</t>
        </is>
      </c>
      <c r="X4" s="22" t="inlineStr">
        <is>
          <t>À photographier</t>
        </is>
      </c>
      <c r="Y4" s="25" t="inlineStr"/>
      <c r="Z4" s="26" t="n"/>
      <c r="AA4" s="26" t="n"/>
      <c r="AB4" s="24">
        <f>IFERROR(Z4-AA4,0)</f>
        <v/>
      </c>
      <c r="AC4" s="22" t="inlineStr"/>
      <c r="AD4" s="27" t="inlineStr">
        <is>
          <t>Signature en haut à gauche à déchiffrer — photo macro nécessaire.</t>
        </is>
      </c>
    </row>
    <row r="5">
      <c r="A5" s="22" t="inlineStr">
        <is>
          <t>WEI-001</t>
        </is>
      </c>
      <c r="B5" s="22" t="inlineStr">
        <is>
          <t>Claude Weisbuch</t>
        </is>
      </c>
      <c r="C5" s="22" t="inlineStr">
        <is>
          <t>(exemple à remplacer)</t>
        </is>
      </c>
      <c r="D5" s="22" t="inlineStr"/>
      <c r="E5" s="22" t="inlineStr">
        <is>
          <t>Visions Nouvelles</t>
        </is>
      </c>
      <c r="F5" s="22" t="inlineStr">
        <is>
          <t>72/150</t>
        </is>
      </c>
      <c r="G5" s="22" t="n">
        <v>150</v>
      </c>
      <c r="H5" s="22" t="inlineStr">
        <is>
          <t>Numérotée</t>
        </is>
      </c>
      <c r="I5" s="22" t="inlineStr">
        <is>
          <t>Oui</t>
        </is>
      </c>
      <c r="J5" s="22" t="inlineStr">
        <is>
          <t>56 x 76</t>
        </is>
      </c>
      <c r="K5" s="22" t="inlineStr"/>
      <c r="L5" s="22" t="inlineStr"/>
      <c r="M5" s="22" t="inlineStr"/>
      <c r="N5" s="22" t="inlineStr">
        <is>
          <t>Oui</t>
        </is>
      </c>
      <c r="O5" s="22" t="n">
        <v>2</v>
      </c>
      <c r="P5" s="22" t="inlineStr">
        <is>
          <t>Neuf</t>
        </is>
      </c>
      <c r="Q5" s="22" t="inlineStr">
        <is>
          <t>Non</t>
        </is>
      </c>
      <c r="R5" s="22" t="inlineStr">
        <is>
          <t>À faire</t>
        </is>
      </c>
      <c r="S5" s="22" t="inlineStr">
        <is>
          <t>B</t>
        </is>
      </c>
      <c r="T5" s="23" t="n">
        <v>80</v>
      </c>
      <c r="U5" s="23" t="n">
        <v>190</v>
      </c>
      <c r="V5" s="24">
        <f>IFERROR(O5*U5,0)</f>
        <v/>
      </c>
      <c r="W5" s="22" t="inlineStr">
        <is>
          <t>Catawiki</t>
        </is>
      </c>
      <c r="X5" s="22" t="inlineStr">
        <is>
          <t>À photographier</t>
        </is>
      </c>
      <c r="Y5" s="25" t="inlineStr"/>
      <c r="Z5" s="26" t="n"/>
      <c r="AA5" s="26" t="n"/>
      <c r="AB5" s="24">
        <f>IFERROR(Z5-AA5,0)</f>
        <v/>
      </c>
      <c r="AC5" s="22" t="inlineStr"/>
      <c r="AD5" s="27" t="inlineStr">
        <is>
          <t>LIGNE D'EXEMPLE — montre le format attendu. À supprimer ou remplacer.</t>
        </is>
      </c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3" t="n"/>
      <c r="U6" s="23" t="n"/>
      <c r="V6" s="24">
        <f>IFERROR(O6*U6,0)</f>
        <v/>
      </c>
      <c r="W6" s="22" t="n"/>
      <c r="X6" s="22" t="n"/>
      <c r="Y6" s="25" t="n"/>
      <c r="Z6" s="26" t="n"/>
      <c r="AA6" s="26" t="n"/>
      <c r="AB6" s="24">
        <f>IFERROR(Z6-AA6,0)</f>
        <v/>
      </c>
      <c r="AC6" s="22" t="n"/>
      <c r="AD6" s="27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3" t="n"/>
      <c r="U7" s="23" t="n"/>
      <c r="V7" s="24">
        <f>IFERROR(O7*U7,0)</f>
        <v/>
      </c>
      <c r="W7" s="22" t="n"/>
      <c r="X7" s="22" t="n"/>
      <c r="Y7" s="25" t="n"/>
      <c r="Z7" s="26" t="n"/>
      <c r="AA7" s="26" t="n"/>
      <c r="AB7" s="24">
        <f>IFERROR(Z7-AA7,0)</f>
        <v/>
      </c>
      <c r="AC7" s="22" t="n"/>
      <c r="AD7" s="27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3" t="n"/>
      <c r="U8" s="23" t="n"/>
      <c r="V8" s="24">
        <f>IFERROR(O8*U8,0)</f>
        <v/>
      </c>
      <c r="W8" s="22" t="n"/>
      <c r="X8" s="22" t="n"/>
      <c r="Y8" s="25" t="n"/>
      <c r="Z8" s="26" t="n"/>
      <c r="AA8" s="26" t="n"/>
      <c r="AB8" s="24">
        <f>IFERROR(Z8-AA8,0)</f>
        <v/>
      </c>
      <c r="AC8" s="22" t="n"/>
      <c r="AD8" s="27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3" t="n"/>
      <c r="U9" s="23" t="n"/>
      <c r="V9" s="24">
        <f>IFERROR(O9*U9,0)</f>
        <v/>
      </c>
      <c r="W9" s="22" t="n"/>
      <c r="X9" s="22" t="n"/>
      <c r="Y9" s="25" t="n"/>
      <c r="Z9" s="26" t="n"/>
      <c r="AA9" s="26" t="n"/>
      <c r="AB9" s="24">
        <f>IFERROR(Z9-AA9,0)</f>
        <v/>
      </c>
      <c r="AC9" s="22" t="n"/>
      <c r="AD9" s="27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3" t="n"/>
      <c r="U10" s="23" t="n"/>
      <c r="V10" s="24">
        <f>IFERROR(O10*U10,0)</f>
        <v/>
      </c>
      <c r="W10" s="22" t="n"/>
      <c r="X10" s="22" t="n"/>
      <c r="Y10" s="25" t="n"/>
      <c r="Z10" s="26" t="n"/>
      <c r="AA10" s="26" t="n"/>
      <c r="AB10" s="24">
        <f>IFERROR(Z10-AA10,0)</f>
        <v/>
      </c>
      <c r="AC10" s="22" t="n"/>
      <c r="AD10" s="27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3" t="n"/>
      <c r="U11" s="23" t="n"/>
      <c r="V11" s="24">
        <f>IFERROR(O11*U11,0)</f>
        <v/>
      </c>
      <c r="W11" s="22" t="n"/>
      <c r="X11" s="22" t="n"/>
      <c r="Y11" s="25" t="n"/>
      <c r="Z11" s="26" t="n"/>
      <c r="AA11" s="26" t="n"/>
      <c r="AB11" s="24">
        <f>IFERROR(Z11-AA11,0)</f>
        <v/>
      </c>
      <c r="AC11" s="22" t="n"/>
      <c r="AD11" s="27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3" t="n"/>
      <c r="U12" s="23" t="n"/>
      <c r="V12" s="24">
        <f>IFERROR(O12*U12,0)</f>
        <v/>
      </c>
      <c r="W12" s="22" t="n"/>
      <c r="X12" s="22" t="n"/>
      <c r="Y12" s="25" t="n"/>
      <c r="Z12" s="26" t="n"/>
      <c r="AA12" s="26" t="n"/>
      <c r="AB12" s="24">
        <f>IFERROR(Z12-AA12,0)</f>
        <v/>
      </c>
      <c r="AC12" s="22" t="n"/>
      <c r="AD12" s="27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3" t="n"/>
      <c r="U13" s="23" t="n"/>
      <c r="V13" s="24">
        <f>IFERROR(O13*U13,0)</f>
        <v/>
      </c>
      <c r="W13" s="22" t="n"/>
      <c r="X13" s="22" t="n"/>
      <c r="Y13" s="25" t="n"/>
      <c r="Z13" s="26" t="n"/>
      <c r="AA13" s="26" t="n"/>
      <c r="AB13" s="24">
        <f>IFERROR(Z13-AA13,0)</f>
        <v/>
      </c>
      <c r="AC13" s="22" t="n"/>
      <c r="AD13" s="27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3" t="n"/>
      <c r="U14" s="23" t="n"/>
      <c r="V14" s="24">
        <f>IFERROR(O14*U14,0)</f>
        <v/>
      </c>
      <c r="W14" s="22" t="n"/>
      <c r="X14" s="22" t="n"/>
      <c r="Y14" s="25" t="n"/>
      <c r="Z14" s="26" t="n"/>
      <c r="AA14" s="26" t="n"/>
      <c r="AB14" s="24">
        <f>IFERROR(Z14-AA14,0)</f>
        <v/>
      </c>
      <c r="AC14" s="22" t="n"/>
      <c r="AD14" s="27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3" t="n"/>
      <c r="U15" s="23" t="n"/>
      <c r="V15" s="24">
        <f>IFERROR(O15*U15,0)</f>
        <v/>
      </c>
      <c r="W15" s="22" t="n"/>
      <c r="X15" s="22" t="n"/>
      <c r="Y15" s="25" t="n"/>
      <c r="Z15" s="26" t="n"/>
      <c r="AA15" s="26" t="n"/>
      <c r="AB15" s="24">
        <f>IFERROR(Z15-AA15,0)</f>
        <v/>
      </c>
      <c r="AC15" s="22" t="n"/>
      <c r="AD15" s="27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3" t="n"/>
      <c r="U16" s="23" t="n"/>
      <c r="V16" s="24">
        <f>IFERROR(O16*U16,0)</f>
        <v/>
      </c>
      <c r="W16" s="22" t="n"/>
      <c r="X16" s="22" t="n"/>
      <c r="Y16" s="25" t="n"/>
      <c r="Z16" s="26" t="n"/>
      <c r="AA16" s="26" t="n"/>
      <c r="AB16" s="24">
        <f>IFERROR(Z16-AA16,0)</f>
        <v/>
      </c>
      <c r="AC16" s="22" t="n"/>
      <c r="AD16" s="27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3" t="n"/>
      <c r="U17" s="23" t="n"/>
      <c r="V17" s="24">
        <f>IFERROR(O17*U17,0)</f>
        <v/>
      </c>
      <c r="W17" s="22" t="n"/>
      <c r="X17" s="22" t="n"/>
      <c r="Y17" s="25" t="n"/>
      <c r="Z17" s="26" t="n"/>
      <c r="AA17" s="26" t="n"/>
      <c r="AB17" s="24">
        <f>IFERROR(Z17-AA17,0)</f>
        <v/>
      </c>
      <c r="AC17" s="22" t="n"/>
      <c r="AD17" s="27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3" t="n"/>
      <c r="U18" s="23" t="n"/>
      <c r="V18" s="24">
        <f>IFERROR(O18*U18,0)</f>
        <v/>
      </c>
      <c r="W18" s="22" t="n"/>
      <c r="X18" s="22" t="n"/>
      <c r="Y18" s="25" t="n"/>
      <c r="Z18" s="26" t="n"/>
      <c r="AA18" s="26" t="n"/>
      <c r="AB18" s="24">
        <f>IFERROR(Z18-AA18,0)</f>
        <v/>
      </c>
      <c r="AC18" s="22" t="n"/>
      <c r="AD18" s="27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3" t="n"/>
      <c r="U19" s="23" t="n"/>
      <c r="V19" s="24">
        <f>IFERROR(O19*U19,0)</f>
        <v/>
      </c>
      <c r="W19" s="22" t="n"/>
      <c r="X19" s="22" t="n"/>
      <c r="Y19" s="25" t="n"/>
      <c r="Z19" s="26" t="n"/>
      <c r="AA19" s="26" t="n"/>
      <c r="AB19" s="24">
        <f>IFERROR(Z19-AA19,0)</f>
        <v/>
      </c>
      <c r="AC19" s="22" t="n"/>
      <c r="AD19" s="27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3" t="n"/>
      <c r="U20" s="23" t="n"/>
      <c r="V20" s="24">
        <f>IFERROR(O20*U20,0)</f>
        <v/>
      </c>
      <c r="W20" s="22" t="n"/>
      <c r="X20" s="22" t="n"/>
      <c r="Y20" s="25" t="n"/>
      <c r="Z20" s="26" t="n"/>
      <c r="AA20" s="26" t="n"/>
      <c r="AB20" s="24">
        <f>IFERROR(Z20-AA20,0)</f>
        <v/>
      </c>
      <c r="AC20" s="22" t="n"/>
      <c r="AD20" s="27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3" t="n"/>
      <c r="U21" s="23" t="n"/>
      <c r="V21" s="24">
        <f>IFERROR(O21*U21,0)</f>
        <v/>
      </c>
      <c r="W21" s="22" t="n"/>
      <c r="X21" s="22" t="n"/>
      <c r="Y21" s="25" t="n"/>
      <c r="Z21" s="26" t="n"/>
      <c r="AA21" s="26" t="n"/>
      <c r="AB21" s="24">
        <f>IFERROR(Z21-AA21,0)</f>
        <v/>
      </c>
      <c r="AC21" s="22" t="n"/>
      <c r="AD21" s="27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3" t="n"/>
      <c r="U22" s="23" t="n"/>
      <c r="V22" s="24">
        <f>IFERROR(O22*U22,0)</f>
        <v/>
      </c>
      <c r="W22" s="22" t="n"/>
      <c r="X22" s="22" t="n"/>
      <c r="Y22" s="25" t="n"/>
      <c r="Z22" s="26" t="n"/>
      <c r="AA22" s="26" t="n"/>
      <c r="AB22" s="24">
        <f>IFERROR(Z22-AA22,0)</f>
        <v/>
      </c>
      <c r="AC22" s="22" t="n"/>
      <c r="AD22" s="27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3" t="n"/>
      <c r="U23" s="23" t="n"/>
      <c r="V23" s="24">
        <f>IFERROR(O23*U23,0)</f>
        <v/>
      </c>
      <c r="W23" s="22" t="n"/>
      <c r="X23" s="22" t="n"/>
      <c r="Y23" s="25" t="n"/>
      <c r="Z23" s="26" t="n"/>
      <c r="AA23" s="26" t="n"/>
      <c r="AB23" s="24">
        <f>IFERROR(Z23-AA23,0)</f>
        <v/>
      </c>
      <c r="AC23" s="22" t="n"/>
      <c r="AD23" s="27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3" t="n"/>
      <c r="U24" s="23" t="n"/>
      <c r="V24" s="24">
        <f>IFERROR(O24*U24,0)</f>
        <v/>
      </c>
      <c r="W24" s="22" t="n"/>
      <c r="X24" s="22" t="n"/>
      <c r="Y24" s="25" t="n"/>
      <c r="Z24" s="26" t="n"/>
      <c r="AA24" s="26" t="n"/>
      <c r="AB24" s="24">
        <f>IFERROR(Z24-AA24,0)</f>
        <v/>
      </c>
      <c r="AC24" s="22" t="n"/>
      <c r="AD24" s="27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3" t="n"/>
      <c r="U25" s="23" t="n"/>
      <c r="V25" s="24">
        <f>IFERROR(O25*U25,0)</f>
        <v/>
      </c>
      <c r="W25" s="22" t="n"/>
      <c r="X25" s="22" t="n"/>
      <c r="Y25" s="25" t="n"/>
      <c r="Z25" s="26" t="n"/>
      <c r="AA25" s="26" t="n"/>
      <c r="AB25" s="24">
        <f>IFERROR(Z25-AA25,0)</f>
        <v/>
      </c>
      <c r="AC25" s="22" t="n"/>
      <c r="AD25" s="27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3" t="n"/>
      <c r="U26" s="23" t="n"/>
      <c r="V26" s="24">
        <f>IFERROR(O26*U26,0)</f>
        <v/>
      </c>
      <c r="W26" s="22" t="n"/>
      <c r="X26" s="22" t="n"/>
      <c r="Y26" s="25" t="n"/>
      <c r="Z26" s="26" t="n"/>
      <c r="AA26" s="26" t="n"/>
      <c r="AB26" s="24">
        <f>IFERROR(Z26-AA26,0)</f>
        <v/>
      </c>
      <c r="AC26" s="22" t="n"/>
      <c r="AD26" s="27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3" t="n"/>
      <c r="U27" s="23" t="n"/>
      <c r="V27" s="24">
        <f>IFERROR(O27*U27,0)</f>
        <v/>
      </c>
      <c r="W27" s="22" t="n"/>
      <c r="X27" s="22" t="n"/>
      <c r="Y27" s="25" t="n"/>
      <c r="Z27" s="26" t="n"/>
      <c r="AA27" s="26" t="n"/>
      <c r="AB27" s="24">
        <f>IFERROR(Z27-AA27,0)</f>
        <v/>
      </c>
      <c r="AC27" s="22" t="n"/>
      <c r="AD27" s="27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3" t="n"/>
      <c r="U28" s="23" t="n"/>
      <c r="V28" s="24">
        <f>IFERROR(O28*U28,0)</f>
        <v/>
      </c>
      <c r="W28" s="22" t="n"/>
      <c r="X28" s="22" t="n"/>
      <c r="Y28" s="25" t="n"/>
      <c r="Z28" s="26" t="n"/>
      <c r="AA28" s="26" t="n"/>
      <c r="AB28" s="24">
        <f>IFERROR(Z28-AA28,0)</f>
        <v/>
      </c>
      <c r="AC28" s="22" t="n"/>
      <c r="AD28" s="27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3" t="n"/>
      <c r="U29" s="23" t="n"/>
      <c r="V29" s="24">
        <f>IFERROR(O29*U29,0)</f>
        <v/>
      </c>
      <c r="W29" s="22" t="n"/>
      <c r="X29" s="22" t="n"/>
      <c r="Y29" s="25" t="n"/>
      <c r="Z29" s="26" t="n"/>
      <c r="AA29" s="26" t="n"/>
      <c r="AB29" s="24">
        <f>IFERROR(Z29-AA29,0)</f>
        <v/>
      </c>
      <c r="AC29" s="22" t="n"/>
      <c r="AD29" s="27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3" t="n"/>
      <c r="U30" s="23" t="n"/>
      <c r="V30" s="24">
        <f>IFERROR(O30*U30,0)</f>
        <v/>
      </c>
      <c r="W30" s="22" t="n"/>
      <c r="X30" s="22" t="n"/>
      <c r="Y30" s="25" t="n"/>
      <c r="Z30" s="26" t="n"/>
      <c r="AA30" s="26" t="n"/>
      <c r="AB30" s="24">
        <f>IFERROR(Z30-AA30,0)</f>
        <v/>
      </c>
      <c r="AC30" s="22" t="n"/>
      <c r="AD30" s="27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3" t="n"/>
      <c r="U31" s="23" t="n"/>
      <c r="V31" s="24">
        <f>IFERROR(O31*U31,0)</f>
        <v/>
      </c>
      <c r="W31" s="22" t="n"/>
      <c r="X31" s="22" t="n"/>
      <c r="Y31" s="25" t="n"/>
      <c r="Z31" s="26" t="n"/>
      <c r="AA31" s="26" t="n"/>
      <c r="AB31" s="24">
        <f>IFERROR(Z31-AA31,0)</f>
        <v/>
      </c>
      <c r="AC31" s="22" t="n"/>
      <c r="AD31" s="27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3" t="n"/>
      <c r="U32" s="23" t="n"/>
      <c r="V32" s="24">
        <f>IFERROR(O32*U32,0)</f>
        <v/>
      </c>
      <c r="W32" s="22" t="n"/>
      <c r="X32" s="22" t="n"/>
      <c r="Y32" s="25" t="n"/>
      <c r="Z32" s="26" t="n"/>
      <c r="AA32" s="26" t="n"/>
      <c r="AB32" s="24">
        <f>IFERROR(Z32-AA32,0)</f>
        <v/>
      </c>
      <c r="AC32" s="22" t="n"/>
      <c r="AD32" s="27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3" t="n"/>
      <c r="U33" s="23" t="n"/>
      <c r="V33" s="24">
        <f>IFERROR(O33*U33,0)</f>
        <v/>
      </c>
      <c r="W33" s="22" t="n"/>
      <c r="X33" s="22" t="n"/>
      <c r="Y33" s="25" t="n"/>
      <c r="Z33" s="26" t="n"/>
      <c r="AA33" s="26" t="n"/>
      <c r="AB33" s="24">
        <f>IFERROR(Z33-AA33,0)</f>
        <v/>
      </c>
      <c r="AC33" s="22" t="n"/>
      <c r="AD33" s="27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3" t="n"/>
      <c r="U34" s="23" t="n"/>
      <c r="V34" s="24">
        <f>IFERROR(O34*U34,0)</f>
        <v/>
      </c>
      <c r="W34" s="22" t="n"/>
      <c r="X34" s="22" t="n"/>
      <c r="Y34" s="25" t="n"/>
      <c r="Z34" s="26" t="n"/>
      <c r="AA34" s="26" t="n"/>
      <c r="AB34" s="24">
        <f>IFERROR(Z34-AA34,0)</f>
        <v/>
      </c>
      <c r="AC34" s="22" t="n"/>
      <c r="AD34" s="27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3" t="n"/>
      <c r="U35" s="23" t="n"/>
      <c r="V35" s="24">
        <f>IFERROR(O35*U35,0)</f>
        <v/>
      </c>
      <c r="W35" s="22" t="n"/>
      <c r="X35" s="22" t="n"/>
      <c r="Y35" s="25" t="n"/>
      <c r="Z35" s="26" t="n"/>
      <c r="AA35" s="26" t="n"/>
      <c r="AB35" s="24">
        <f>IFERROR(Z35-AA35,0)</f>
        <v/>
      </c>
      <c r="AC35" s="22" t="n"/>
      <c r="AD35" s="27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3" t="n"/>
      <c r="U36" s="23" t="n"/>
      <c r="V36" s="24">
        <f>IFERROR(O36*U36,0)</f>
        <v/>
      </c>
      <c r="W36" s="22" t="n"/>
      <c r="X36" s="22" t="n"/>
      <c r="Y36" s="25" t="n"/>
      <c r="Z36" s="26" t="n"/>
      <c r="AA36" s="26" t="n"/>
      <c r="AB36" s="24">
        <f>IFERROR(Z36-AA36,0)</f>
        <v/>
      </c>
      <c r="AC36" s="22" t="n"/>
      <c r="AD36" s="27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3" t="n"/>
      <c r="U37" s="23" t="n"/>
      <c r="V37" s="24">
        <f>IFERROR(O37*U37,0)</f>
        <v/>
      </c>
      <c r="W37" s="22" t="n"/>
      <c r="X37" s="22" t="n"/>
      <c r="Y37" s="25" t="n"/>
      <c r="Z37" s="26" t="n"/>
      <c r="AA37" s="26" t="n"/>
      <c r="AB37" s="24">
        <f>IFERROR(Z37-AA37,0)</f>
        <v/>
      </c>
      <c r="AC37" s="22" t="n"/>
      <c r="AD37" s="27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3" t="n"/>
      <c r="U38" s="23" t="n"/>
      <c r="V38" s="24">
        <f>IFERROR(O38*U38,0)</f>
        <v/>
      </c>
      <c r="W38" s="22" t="n"/>
      <c r="X38" s="22" t="n"/>
      <c r="Y38" s="25" t="n"/>
      <c r="Z38" s="26" t="n"/>
      <c r="AA38" s="26" t="n"/>
      <c r="AB38" s="24">
        <f>IFERROR(Z38-AA38,0)</f>
        <v/>
      </c>
      <c r="AC38" s="22" t="n"/>
      <c r="AD38" s="27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3" t="n"/>
      <c r="U39" s="23" t="n"/>
      <c r="V39" s="24">
        <f>IFERROR(O39*U39,0)</f>
        <v/>
      </c>
      <c r="W39" s="22" t="n"/>
      <c r="X39" s="22" t="n"/>
      <c r="Y39" s="25" t="n"/>
      <c r="Z39" s="26" t="n"/>
      <c r="AA39" s="26" t="n"/>
      <c r="AB39" s="24">
        <f>IFERROR(Z39-AA39,0)</f>
        <v/>
      </c>
      <c r="AC39" s="22" t="n"/>
      <c r="AD39" s="27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3" t="n"/>
      <c r="U40" s="23" t="n"/>
      <c r="V40" s="24">
        <f>IFERROR(O40*U40,0)</f>
        <v/>
      </c>
      <c r="W40" s="22" t="n"/>
      <c r="X40" s="22" t="n"/>
      <c r="Y40" s="25" t="n"/>
      <c r="Z40" s="26" t="n"/>
      <c r="AA40" s="26" t="n"/>
      <c r="AB40" s="24">
        <f>IFERROR(Z40-AA40,0)</f>
        <v/>
      </c>
      <c r="AC40" s="22" t="n"/>
      <c r="AD40" s="27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3" t="n"/>
      <c r="U41" s="23" t="n"/>
      <c r="V41" s="24">
        <f>IFERROR(O41*U41,0)</f>
        <v/>
      </c>
      <c r="W41" s="22" t="n"/>
      <c r="X41" s="22" t="n"/>
      <c r="Y41" s="25" t="n"/>
      <c r="Z41" s="26" t="n"/>
      <c r="AA41" s="26" t="n"/>
      <c r="AB41" s="24">
        <f>IFERROR(Z41-AA41,0)</f>
        <v/>
      </c>
      <c r="AC41" s="22" t="n"/>
      <c r="AD41" s="27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3" t="n"/>
      <c r="U42" s="23" t="n"/>
      <c r="V42" s="24">
        <f>IFERROR(O42*U42,0)</f>
        <v/>
      </c>
      <c r="W42" s="22" t="n"/>
      <c r="X42" s="22" t="n"/>
      <c r="Y42" s="25" t="n"/>
      <c r="Z42" s="26" t="n"/>
      <c r="AA42" s="26" t="n"/>
      <c r="AB42" s="24">
        <f>IFERROR(Z42-AA42,0)</f>
        <v/>
      </c>
      <c r="AC42" s="22" t="n"/>
      <c r="AD42" s="27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3" t="n"/>
      <c r="U43" s="23" t="n"/>
      <c r="V43" s="24">
        <f>IFERROR(O43*U43,0)</f>
        <v/>
      </c>
      <c r="W43" s="22" t="n"/>
      <c r="X43" s="22" t="n"/>
      <c r="Y43" s="25" t="n"/>
      <c r="Z43" s="26" t="n"/>
      <c r="AA43" s="26" t="n"/>
      <c r="AB43" s="24">
        <f>IFERROR(Z43-AA43,0)</f>
        <v/>
      </c>
      <c r="AC43" s="22" t="n"/>
      <c r="AD43" s="27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3" t="n"/>
      <c r="U44" s="23" t="n"/>
      <c r="V44" s="24">
        <f>IFERROR(O44*U44,0)</f>
        <v/>
      </c>
      <c r="W44" s="22" t="n"/>
      <c r="X44" s="22" t="n"/>
      <c r="Y44" s="25" t="n"/>
      <c r="Z44" s="26" t="n"/>
      <c r="AA44" s="26" t="n"/>
      <c r="AB44" s="24">
        <f>IFERROR(Z44-AA44,0)</f>
        <v/>
      </c>
      <c r="AC44" s="22" t="n"/>
      <c r="AD44" s="27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3" t="n"/>
      <c r="U45" s="23" t="n"/>
      <c r="V45" s="24">
        <f>IFERROR(O45*U45,0)</f>
        <v/>
      </c>
      <c r="W45" s="22" t="n"/>
      <c r="X45" s="22" t="n"/>
      <c r="Y45" s="25" t="n"/>
      <c r="Z45" s="26" t="n"/>
      <c r="AA45" s="26" t="n"/>
      <c r="AB45" s="24">
        <f>IFERROR(Z45-AA45,0)</f>
        <v/>
      </c>
      <c r="AC45" s="22" t="n"/>
      <c r="AD45" s="27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3" t="n"/>
      <c r="U46" s="23" t="n"/>
      <c r="V46" s="24">
        <f>IFERROR(O46*U46,0)</f>
        <v/>
      </c>
      <c r="W46" s="22" t="n"/>
      <c r="X46" s="22" t="n"/>
      <c r="Y46" s="25" t="n"/>
      <c r="Z46" s="26" t="n"/>
      <c r="AA46" s="26" t="n"/>
      <c r="AB46" s="24">
        <f>IFERROR(Z46-AA46,0)</f>
        <v/>
      </c>
      <c r="AC46" s="22" t="n"/>
      <c r="AD46" s="27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3" t="n"/>
      <c r="U47" s="23" t="n"/>
      <c r="V47" s="24">
        <f>IFERROR(O47*U47,0)</f>
        <v/>
      </c>
      <c r="W47" s="22" t="n"/>
      <c r="X47" s="22" t="n"/>
      <c r="Y47" s="25" t="n"/>
      <c r="Z47" s="26" t="n"/>
      <c r="AA47" s="26" t="n"/>
      <c r="AB47" s="24">
        <f>IFERROR(Z47-AA47,0)</f>
        <v/>
      </c>
      <c r="AC47" s="22" t="n"/>
      <c r="AD47" s="27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3" t="n"/>
      <c r="U48" s="23" t="n"/>
      <c r="V48" s="24">
        <f>IFERROR(O48*U48,0)</f>
        <v/>
      </c>
      <c r="W48" s="22" t="n"/>
      <c r="X48" s="22" t="n"/>
      <c r="Y48" s="25" t="n"/>
      <c r="Z48" s="26" t="n"/>
      <c r="AA48" s="26" t="n"/>
      <c r="AB48" s="24">
        <f>IFERROR(Z48-AA48,0)</f>
        <v/>
      </c>
      <c r="AC48" s="22" t="n"/>
      <c r="AD48" s="27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3" t="n"/>
      <c r="U49" s="23" t="n"/>
      <c r="V49" s="24">
        <f>IFERROR(O49*U49,0)</f>
        <v/>
      </c>
      <c r="W49" s="22" t="n"/>
      <c r="X49" s="22" t="n"/>
      <c r="Y49" s="25" t="n"/>
      <c r="Z49" s="26" t="n"/>
      <c r="AA49" s="26" t="n"/>
      <c r="AB49" s="24">
        <f>IFERROR(Z49-AA49,0)</f>
        <v/>
      </c>
      <c r="AC49" s="22" t="n"/>
      <c r="AD49" s="27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3" t="n"/>
      <c r="U50" s="23" t="n"/>
      <c r="V50" s="24">
        <f>IFERROR(O50*U50,0)</f>
        <v/>
      </c>
      <c r="W50" s="22" t="n"/>
      <c r="X50" s="22" t="n"/>
      <c r="Y50" s="25" t="n"/>
      <c r="Z50" s="26" t="n"/>
      <c r="AA50" s="26" t="n"/>
      <c r="AB50" s="24">
        <f>IFERROR(Z50-AA50,0)</f>
        <v/>
      </c>
      <c r="AC50" s="22" t="n"/>
      <c r="AD50" s="27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3" t="n"/>
      <c r="U51" s="23" t="n"/>
      <c r="V51" s="24">
        <f>IFERROR(O51*U51,0)</f>
        <v/>
      </c>
      <c r="W51" s="22" t="n"/>
      <c r="X51" s="22" t="n"/>
      <c r="Y51" s="25" t="n"/>
      <c r="Z51" s="26" t="n"/>
      <c r="AA51" s="26" t="n"/>
      <c r="AB51" s="24">
        <f>IFERROR(Z51-AA51,0)</f>
        <v/>
      </c>
      <c r="AC51" s="22" t="n"/>
      <c r="AD51" s="27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3" t="n"/>
      <c r="U52" s="23" t="n"/>
      <c r="V52" s="24">
        <f>IFERROR(O52*U52,0)</f>
        <v/>
      </c>
      <c r="W52" s="22" t="n"/>
      <c r="X52" s="22" t="n"/>
      <c r="Y52" s="25" t="n"/>
      <c r="Z52" s="26" t="n"/>
      <c r="AA52" s="26" t="n"/>
      <c r="AB52" s="24">
        <f>IFERROR(Z52-AA52,0)</f>
        <v/>
      </c>
      <c r="AC52" s="22" t="n"/>
      <c r="AD52" s="27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3" t="n"/>
      <c r="U53" s="23" t="n"/>
      <c r="V53" s="24">
        <f>IFERROR(O53*U53,0)</f>
        <v/>
      </c>
      <c r="W53" s="22" t="n"/>
      <c r="X53" s="22" t="n"/>
      <c r="Y53" s="25" t="n"/>
      <c r="Z53" s="26" t="n"/>
      <c r="AA53" s="26" t="n"/>
      <c r="AB53" s="24">
        <f>IFERROR(Z53-AA53,0)</f>
        <v/>
      </c>
      <c r="AC53" s="22" t="n"/>
      <c r="AD53" s="27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3" t="n"/>
      <c r="U54" s="23" t="n"/>
      <c r="V54" s="24">
        <f>IFERROR(O54*U54,0)</f>
        <v/>
      </c>
      <c r="W54" s="22" t="n"/>
      <c r="X54" s="22" t="n"/>
      <c r="Y54" s="25" t="n"/>
      <c r="Z54" s="26" t="n"/>
      <c r="AA54" s="26" t="n"/>
      <c r="AB54" s="24">
        <f>IFERROR(Z54-AA54,0)</f>
        <v/>
      </c>
      <c r="AC54" s="22" t="n"/>
      <c r="AD54" s="27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3" t="n"/>
      <c r="U55" s="23" t="n"/>
      <c r="V55" s="24">
        <f>IFERROR(O55*U55,0)</f>
        <v/>
      </c>
      <c r="W55" s="22" t="n"/>
      <c r="X55" s="22" t="n"/>
      <c r="Y55" s="25" t="n"/>
      <c r="Z55" s="26" t="n"/>
      <c r="AA55" s="26" t="n"/>
      <c r="AB55" s="24">
        <f>IFERROR(Z55-AA55,0)</f>
        <v/>
      </c>
      <c r="AC55" s="22" t="n"/>
      <c r="AD55" s="27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3" t="n"/>
      <c r="U56" s="23" t="n"/>
      <c r="V56" s="24">
        <f>IFERROR(O56*U56,0)</f>
        <v/>
      </c>
      <c r="W56" s="22" t="n"/>
      <c r="X56" s="22" t="n"/>
      <c r="Y56" s="25" t="n"/>
      <c r="Z56" s="26" t="n"/>
      <c r="AA56" s="26" t="n"/>
      <c r="AB56" s="24">
        <f>IFERROR(Z56-AA56,0)</f>
        <v/>
      </c>
      <c r="AC56" s="22" t="n"/>
      <c r="AD56" s="27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3" t="n"/>
      <c r="U57" s="23" t="n"/>
      <c r="V57" s="24">
        <f>IFERROR(O57*U57,0)</f>
        <v/>
      </c>
      <c r="W57" s="22" t="n"/>
      <c r="X57" s="22" t="n"/>
      <c r="Y57" s="25" t="n"/>
      <c r="Z57" s="26" t="n"/>
      <c r="AA57" s="26" t="n"/>
      <c r="AB57" s="24">
        <f>IFERROR(Z57-AA57,0)</f>
        <v/>
      </c>
      <c r="AC57" s="22" t="n"/>
      <c r="AD57" s="27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3" t="n"/>
      <c r="U58" s="23" t="n"/>
      <c r="V58" s="24">
        <f>IFERROR(O58*U58,0)</f>
        <v/>
      </c>
      <c r="W58" s="22" t="n"/>
      <c r="X58" s="22" t="n"/>
      <c r="Y58" s="25" t="n"/>
      <c r="Z58" s="26" t="n"/>
      <c r="AA58" s="26" t="n"/>
      <c r="AB58" s="24">
        <f>IFERROR(Z58-AA58,0)</f>
        <v/>
      </c>
      <c r="AC58" s="22" t="n"/>
      <c r="AD58" s="27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3" t="n"/>
      <c r="U59" s="23" t="n"/>
      <c r="V59" s="24">
        <f>IFERROR(O59*U59,0)</f>
        <v/>
      </c>
      <c r="W59" s="22" t="n"/>
      <c r="X59" s="22" t="n"/>
      <c r="Y59" s="25" t="n"/>
      <c r="Z59" s="26" t="n"/>
      <c r="AA59" s="26" t="n"/>
      <c r="AB59" s="24">
        <f>IFERROR(Z59-AA59,0)</f>
        <v/>
      </c>
      <c r="AC59" s="22" t="n"/>
      <c r="AD59" s="27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3" t="n"/>
      <c r="U60" s="23" t="n"/>
      <c r="V60" s="24">
        <f>IFERROR(O60*U60,0)</f>
        <v/>
      </c>
      <c r="W60" s="22" t="n"/>
      <c r="X60" s="22" t="n"/>
      <c r="Y60" s="25" t="n"/>
      <c r="Z60" s="26" t="n"/>
      <c r="AA60" s="26" t="n"/>
      <c r="AB60" s="24">
        <f>IFERROR(Z60-AA60,0)</f>
        <v/>
      </c>
      <c r="AC60" s="22" t="n"/>
      <c r="AD60" s="27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3" t="n"/>
      <c r="U61" s="23" t="n"/>
      <c r="V61" s="24">
        <f>IFERROR(O61*U61,0)</f>
        <v/>
      </c>
      <c r="W61" s="22" t="n"/>
      <c r="X61" s="22" t="n"/>
      <c r="Y61" s="25" t="n"/>
      <c r="Z61" s="26" t="n"/>
      <c r="AA61" s="26" t="n"/>
      <c r="AB61" s="24">
        <f>IFERROR(Z61-AA61,0)</f>
        <v/>
      </c>
      <c r="AC61" s="22" t="n"/>
      <c r="AD61" s="27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3" t="n"/>
      <c r="U62" s="23" t="n"/>
      <c r="V62" s="24">
        <f>IFERROR(O62*U62,0)</f>
        <v/>
      </c>
      <c r="W62" s="22" t="n"/>
      <c r="X62" s="22" t="n"/>
      <c r="Y62" s="25" t="n"/>
      <c r="Z62" s="26" t="n"/>
      <c r="AA62" s="26" t="n"/>
      <c r="AB62" s="24">
        <f>IFERROR(Z62-AA62,0)</f>
        <v/>
      </c>
      <c r="AC62" s="22" t="n"/>
      <c r="AD62" s="27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3" t="n"/>
      <c r="U63" s="23" t="n"/>
      <c r="V63" s="24">
        <f>IFERROR(O63*U63,0)</f>
        <v/>
      </c>
      <c r="W63" s="22" t="n"/>
      <c r="X63" s="22" t="n"/>
      <c r="Y63" s="25" t="n"/>
      <c r="Z63" s="26" t="n"/>
      <c r="AA63" s="26" t="n"/>
      <c r="AB63" s="24">
        <f>IFERROR(Z63-AA63,0)</f>
        <v/>
      </c>
      <c r="AC63" s="22" t="n"/>
      <c r="AD63" s="27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3" t="n"/>
      <c r="U64" s="23" t="n"/>
      <c r="V64" s="24">
        <f>IFERROR(O64*U64,0)</f>
        <v/>
      </c>
      <c r="W64" s="22" t="n"/>
      <c r="X64" s="22" t="n"/>
      <c r="Y64" s="25" t="n"/>
      <c r="Z64" s="26" t="n"/>
      <c r="AA64" s="26" t="n"/>
      <c r="AB64" s="24">
        <f>IFERROR(Z64-AA64,0)</f>
        <v/>
      </c>
      <c r="AC64" s="22" t="n"/>
      <c r="AD64" s="27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3" t="n"/>
      <c r="U65" s="23" t="n"/>
      <c r="V65" s="24">
        <f>IFERROR(O65*U65,0)</f>
        <v/>
      </c>
      <c r="W65" s="22" t="n"/>
      <c r="X65" s="22" t="n"/>
      <c r="Y65" s="25" t="n"/>
      <c r="Z65" s="26" t="n"/>
      <c r="AA65" s="26" t="n"/>
      <c r="AB65" s="24">
        <f>IFERROR(Z65-AA65,0)</f>
        <v/>
      </c>
      <c r="AC65" s="22" t="n"/>
      <c r="AD65" s="27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3" t="n"/>
      <c r="U66" s="23" t="n"/>
      <c r="V66" s="24">
        <f>IFERROR(O66*U66,0)</f>
        <v/>
      </c>
      <c r="W66" s="22" t="n"/>
      <c r="X66" s="22" t="n"/>
      <c r="Y66" s="25" t="n"/>
      <c r="Z66" s="26" t="n"/>
      <c r="AA66" s="26" t="n"/>
      <c r="AB66" s="24">
        <f>IFERROR(Z66-AA66,0)</f>
        <v/>
      </c>
      <c r="AC66" s="22" t="n"/>
      <c r="AD66" s="27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3" t="n"/>
      <c r="U67" s="23" t="n"/>
      <c r="V67" s="24">
        <f>IFERROR(O67*U67,0)</f>
        <v/>
      </c>
      <c r="W67" s="22" t="n"/>
      <c r="X67" s="22" t="n"/>
      <c r="Y67" s="25" t="n"/>
      <c r="Z67" s="26" t="n"/>
      <c r="AA67" s="26" t="n"/>
      <c r="AB67" s="24">
        <f>IFERROR(Z67-AA67,0)</f>
        <v/>
      </c>
      <c r="AC67" s="22" t="n"/>
      <c r="AD67" s="27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3" t="n"/>
      <c r="U68" s="23" t="n"/>
      <c r="V68" s="24">
        <f>IFERROR(O68*U68,0)</f>
        <v/>
      </c>
      <c r="W68" s="22" t="n"/>
      <c r="X68" s="22" t="n"/>
      <c r="Y68" s="25" t="n"/>
      <c r="Z68" s="26" t="n"/>
      <c r="AA68" s="26" t="n"/>
      <c r="AB68" s="24">
        <f>IFERROR(Z68-AA68,0)</f>
        <v/>
      </c>
      <c r="AC68" s="22" t="n"/>
      <c r="AD68" s="27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3" t="n"/>
      <c r="U69" s="23" t="n"/>
      <c r="V69" s="24">
        <f>IFERROR(O69*U69,0)</f>
        <v/>
      </c>
      <c r="W69" s="22" t="n"/>
      <c r="X69" s="22" t="n"/>
      <c r="Y69" s="25" t="n"/>
      <c r="Z69" s="26" t="n"/>
      <c r="AA69" s="26" t="n"/>
      <c r="AB69" s="24">
        <f>IFERROR(Z69-AA69,0)</f>
        <v/>
      </c>
      <c r="AC69" s="22" t="n"/>
      <c r="AD69" s="27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3" t="n"/>
      <c r="U70" s="23" t="n"/>
      <c r="V70" s="24">
        <f>IFERROR(O70*U70,0)</f>
        <v/>
      </c>
      <c r="W70" s="22" t="n"/>
      <c r="X70" s="22" t="n"/>
      <c r="Y70" s="25" t="n"/>
      <c r="Z70" s="26" t="n"/>
      <c r="AA70" s="26" t="n"/>
      <c r="AB70" s="24">
        <f>IFERROR(Z70-AA70,0)</f>
        <v/>
      </c>
      <c r="AC70" s="22" t="n"/>
      <c r="AD70" s="27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3" t="n"/>
      <c r="U71" s="23" t="n"/>
      <c r="V71" s="24">
        <f>IFERROR(O71*U71,0)</f>
        <v/>
      </c>
      <c r="W71" s="22" t="n"/>
      <c r="X71" s="22" t="n"/>
      <c r="Y71" s="25" t="n"/>
      <c r="Z71" s="26" t="n"/>
      <c r="AA71" s="26" t="n"/>
      <c r="AB71" s="24">
        <f>IFERROR(Z71-AA71,0)</f>
        <v/>
      </c>
      <c r="AC71" s="22" t="n"/>
      <c r="AD71" s="27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3" t="n"/>
      <c r="U72" s="23" t="n"/>
      <c r="V72" s="24">
        <f>IFERROR(O72*U72,0)</f>
        <v/>
      </c>
      <c r="W72" s="22" t="n"/>
      <c r="X72" s="22" t="n"/>
      <c r="Y72" s="25" t="n"/>
      <c r="Z72" s="26" t="n"/>
      <c r="AA72" s="26" t="n"/>
      <c r="AB72" s="24">
        <f>IFERROR(Z72-AA72,0)</f>
        <v/>
      </c>
      <c r="AC72" s="22" t="n"/>
      <c r="AD72" s="27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3" t="n"/>
      <c r="U73" s="23" t="n"/>
      <c r="V73" s="24">
        <f>IFERROR(O73*U73,0)</f>
        <v/>
      </c>
      <c r="W73" s="22" t="n"/>
      <c r="X73" s="22" t="n"/>
      <c r="Y73" s="25" t="n"/>
      <c r="Z73" s="26" t="n"/>
      <c r="AA73" s="26" t="n"/>
      <c r="AB73" s="24">
        <f>IFERROR(Z73-AA73,0)</f>
        <v/>
      </c>
      <c r="AC73" s="22" t="n"/>
      <c r="AD73" s="27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3" t="n"/>
      <c r="U74" s="23" t="n"/>
      <c r="V74" s="24">
        <f>IFERROR(O74*U74,0)</f>
        <v/>
      </c>
      <c r="W74" s="22" t="n"/>
      <c r="X74" s="22" t="n"/>
      <c r="Y74" s="25" t="n"/>
      <c r="Z74" s="26" t="n"/>
      <c r="AA74" s="26" t="n"/>
      <c r="AB74" s="24">
        <f>IFERROR(Z74-AA74,0)</f>
        <v/>
      </c>
      <c r="AC74" s="22" t="n"/>
      <c r="AD74" s="27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3" t="n"/>
      <c r="U75" s="23" t="n"/>
      <c r="V75" s="24">
        <f>IFERROR(O75*U75,0)</f>
        <v/>
      </c>
      <c r="W75" s="22" t="n"/>
      <c r="X75" s="22" t="n"/>
      <c r="Y75" s="25" t="n"/>
      <c r="Z75" s="26" t="n"/>
      <c r="AA75" s="26" t="n"/>
      <c r="AB75" s="24">
        <f>IFERROR(Z75-AA75,0)</f>
        <v/>
      </c>
      <c r="AC75" s="22" t="n"/>
      <c r="AD75" s="27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3" t="n"/>
      <c r="U76" s="23" t="n"/>
      <c r="V76" s="24">
        <f>IFERROR(O76*U76,0)</f>
        <v/>
      </c>
      <c r="W76" s="22" t="n"/>
      <c r="X76" s="22" t="n"/>
      <c r="Y76" s="25" t="n"/>
      <c r="Z76" s="26" t="n"/>
      <c r="AA76" s="26" t="n"/>
      <c r="AB76" s="24">
        <f>IFERROR(Z76-AA76,0)</f>
        <v/>
      </c>
      <c r="AC76" s="22" t="n"/>
      <c r="AD76" s="27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3" t="n"/>
      <c r="U77" s="23" t="n"/>
      <c r="V77" s="24">
        <f>IFERROR(O77*U77,0)</f>
        <v/>
      </c>
      <c r="W77" s="22" t="n"/>
      <c r="X77" s="22" t="n"/>
      <c r="Y77" s="25" t="n"/>
      <c r="Z77" s="26" t="n"/>
      <c r="AA77" s="26" t="n"/>
      <c r="AB77" s="24">
        <f>IFERROR(Z77-AA77,0)</f>
        <v/>
      </c>
      <c r="AC77" s="22" t="n"/>
      <c r="AD77" s="27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3" t="n"/>
      <c r="U78" s="23" t="n"/>
      <c r="V78" s="24">
        <f>IFERROR(O78*U78,0)</f>
        <v/>
      </c>
      <c r="W78" s="22" t="n"/>
      <c r="X78" s="22" t="n"/>
      <c r="Y78" s="25" t="n"/>
      <c r="Z78" s="26" t="n"/>
      <c r="AA78" s="26" t="n"/>
      <c r="AB78" s="24">
        <f>IFERROR(Z78-AA78,0)</f>
        <v/>
      </c>
      <c r="AC78" s="22" t="n"/>
      <c r="AD78" s="27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3" t="n"/>
      <c r="U79" s="23" t="n"/>
      <c r="V79" s="24">
        <f>IFERROR(O79*U79,0)</f>
        <v/>
      </c>
      <c r="W79" s="22" t="n"/>
      <c r="X79" s="22" t="n"/>
      <c r="Y79" s="25" t="n"/>
      <c r="Z79" s="26" t="n"/>
      <c r="AA79" s="26" t="n"/>
      <c r="AB79" s="24">
        <f>IFERROR(Z79-AA79,0)</f>
        <v/>
      </c>
      <c r="AC79" s="22" t="n"/>
      <c r="AD79" s="27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3" t="n"/>
      <c r="U80" s="23" t="n"/>
      <c r="V80" s="24">
        <f>IFERROR(O80*U80,0)</f>
        <v/>
      </c>
      <c r="W80" s="22" t="n"/>
      <c r="X80" s="22" t="n"/>
      <c r="Y80" s="25" t="n"/>
      <c r="Z80" s="26" t="n"/>
      <c r="AA80" s="26" t="n"/>
      <c r="AB80" s="24">
        <f>IFERROR(Z80-AA80,0)</f>
        <v/>
      </c>
      <c r="AC80" s="22" t="n"/>
      <c r="AD80" s="27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3" t="n"/>
      <c r="U81" s="23" t="n"/>
      <c r="V81" s="24">
        <f>IFERROR(O81*U81,0)</f>
        <v/>
      </c>
      <c r="W81" s="22" t="n"/>
      <c r="X81" s="22" t="n"/>
      <c r="Y81" s="25" t="n"/>
      <c r="Z81" s="26" t="n"/>
      <c r="AA81" s="26" t="n"/>
      <c r="AB81" s="24">
        <f>IFERROR(Z81-AA81,0)</f>
        <v/>
      </c>
      <c r="AC81" s="22" t="n"/>
      <c r="AD81" s="27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3" t="n"/>
      <c r="U82" s="23" t="n"/>
      <c r="V82" s="24">
        <f>IFERROR(O82*U82,0)</f>
        <v/>
      </c>
      <c r="W82" s="22" t="n"/>
      <c r="X82" s="22" t="n"/>
      <c r="Y82" s="25" t="n"/>
      <c r="Z82" s="26" t="n"/>
      <c r="AA82" s="26" t="n"/>
      <c r="AB82" s="24">
        <f>IFERROR(Z82-AA82,0)</f>
        <v/>
      </c>
      <c r="AC82" s="22" t="n"/>
      <c r="AD82" s="27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3" t="n"/>
      <c r="U83" s="23" t="n"/>
      <c r="V83" s="24">
        <f>IFERROR(O83*U83,0)</f>
        <v/>
      </c>
      <c r="W83" s="22" t="n"/>
      <c r="X83" s="22" t="n"/>
      <c r="Y83" s="25" t="n"/>
      <c r="Z83" s="26" t="n"/>
      <c r="AA83" s="26" t="n"/>
      <c r="AB83" s="24">
        <f>IFERROR(Z83-AA83,0)</f>
        <v/>
      </c>
      <c r="AC83" s="22" t="n"/>
      <c r="AD83" s="27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3" t="n"/>
      <c r="U84" s="23" t="n"/>
      <c r="V84" s="24">
        <f>IFERROR(O84*U84,0)</f>
        <v/>
      </c>
      <c r="W84" s="22" t="n"/>
      <c r="X84" s="22" t="n"/>
      <c r="Y84" s="25" t="n"/>
      <c r="Z84" s="26" t="n"/>
      <c r="AA84" s="26" t="n"/>
      <c r="AB84" s="24">
        <f>IFERROR(Z84-AA84,0)</f>
        <v/>
      </c>
      <c r="AC84" s="22" t="n"/>
      <c r="AD84" s="27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3" t="n"/>
      <c r="U85" s="23" t="n"/>
      <c r="V85" s="24">
        <f>IFERROR(O85*U85,0)</f>
        <v/>
      </c>
      <c r="W85" s="22" t="n"/>
      <c r="X85" s="22" t="n"/>
      <c r="Y85" s="25" t="n"/>
      <c r="Z85" s="26" t="n"/>
      <c r="AA85" s="26" t="n"/>
      <c r="AB85" s="24">
        <f>IFERROR(Z85-AA85,0)</f>
        <v/>
      </c>
      <c r="AC85" s="22" t="n"/>
      <c r="AD85" s="27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3" t="n"/>
      <c r="U86" s="23" t="n"/>
      <c r="V86" s="24">
        <f>IFERROR(O86*U86,0)</f>
        <v/>
      </c>
      <c r="W86" s="22" t="n"/>
      <c r="X86" s="22" t="n"/>
      <c r="Y86" s="25" t="n"/>
      <c r="Z86" s="26" t="n"/>
      <c r="AA86" s="26" t="n"/>
      <c r="AB86" s="24">
        <f>IFERROR(Z86-AA86,0)</f>
        <v/>
      </c>
      <c r="AC86" s="22" t="n"/>
      <c r="AD86" s="27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3" t="n"/>
      <c r="U87" s="23" t="n"/>
      <c r="V87" s="24">
        <f>IFERROR(O87*U87,0)</f>
        <v/>
      </c>
      <c r="W87" s="22" t="n"/>
      <c r="X87" s="22" t="n"/>
      <c r="Y87" s="25" t="n"/>
      <c r="Z87" s="26" t="n"/>
      <c r="AA87" s="26" t="n"/>
      <c r="AB87" s="24">
        <f>IFERROR(Z87-AA87,0)</f>
        <v/>
      </c>
      <c r="AC87" s="22" t="n"/>
      <c r="AD87" s="27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3" t="n"/>
      <c r="U88" s="23" t="n"/>
      <c r="V88" s="24">
        <f>IFERROR(O88*U88,0)</f>
        <v/>
      </c>
      <c r="W88" s="22" t="n"/>
      <c r="X88" s="22" t="n"/>
      <c r="Y88" s="25" t="n"/>
      <c r="Z88" s="26" t="n"/>
      <c r="AA88" s="26" t="n"/>
      <c r="AB88" s="24">
        <f>IFERROR(Z88-AA88,0)</f>
        <v/>
      </c>
      <c r="AC88" s="22" t="n"/>
      <c r="AD88" s="27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3" t="n"/>
      <c r="U89" s="23" t="n"/>
      <c r="V89" s="24">
        <f>IFERROR(O89*U89,0)</f>
        <v/>
      </c>
      <c r="W89" s="22" t="n"/>
      <c r="X89" s="22" t="n"/>
      <c r="Y89" s="25" t="n"/>
      <c r="Z89" s="26" t="n"/>
      <c r="AA89" s="26" t="n"/>
      <c r="AB89" s="24">
        <f>IFERROR(Z89-AA89,0)</f>
        <v/>
      </c>
      <c r="AC89" s="22" t="n"/>
      <c r="AD89" s="27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3" t="n"/>
      <c r="U90" s="23" t="n"/>
      <c r="V90" s="24">
        <f>IFERROR(O90*U90,0)</f>
        <v/>
      </c>
      <c r="W90" s="22" t="n"/>
      <c r="X90" s="22" t="n"/>
      <c r="Y90" s="25" t="n"/>
      <c r="Z90" s="26" t="n"/>
      <c r="AA90" s="26" t="n"/>
      <c r="AB90" s="24">
        <f>IFERROR(Z90-AA90,0)</f>
        <v/>
      </c>
      <c r="AC90" s="22" t="n"/>
      <c r="AD90" s="27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3" t="n"/>
      <c r="U91" s="23" t="n"/>
      <c r="V91" s="24">
        <f>IFERROR(O91*U91,0)</f>
        <v/>
      </c>
      <c r="W91" s="22" t="n"/>
      <c r="X91" s="22" t="n"/>
      <c r="Y91" s="25" t="n"/>
      <c r="Z91" s="26" t="n"/>
      <c r="AA91" s="26" t="n"/>
      <c r="AB91" s="24">
        <f>IFERROR(Z91-AA91,0)</f>
        <v/>
      </c>
      <c r="AC91" s="22" t="n"/>
      <c r="AD91" s="27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3" t="n"/>
      <c r="U92" s="23" t="n"/>
      <c r="V92" s="24">
        <f>IFERROR(O92*U92,0)</f>
        <v/>
      </c>
      <c r="W92" s="22" t="n"/>
      <c r="X92" s="22" t="n"/>
      <c r="Y92" s="25" t="n"/>
      <c r="Z92" s="26" t="n"/>
      <c r="AA92" s="26" t="n"/>
      <c r="AB92" s="24">
        <f>IFERROR(Z92-AA92,0)</f>
        <v/>
      </c>
      <c r="AC92" s="22" t="n"/>
      <c r="AD92" s="27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3" t="n"/>
      <c r="U93" s="23" t="n"/>
      <c r="V93" s="24">
        <f>IFERROR(O93*U93,0)</f>
        <v/>
      </c>
      <c r="W93" s="22" t="n"/>
      <c r="X93" s="22" t="n"/>
      <c r="Y93" s="25" t="n"/>
      <c r="Z93" s="26" t="n"/>
      <c r="AA93" s="26" t="n"/>
      <c r="AB93" s="24">
        <f>IFERROR(Z93-AA93,0)</f>
        <v/>
      </c>
      <c r="AC93" s="22" t="n"/>
      <c r="AD93" s="27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3" t="n"/>
      <c r="U94" s="23" t="n"/>
      <c r="V94" s="24">
        <f>IFERROR(O94*U94,0)</f>
        <v/>
      </c>
      <c r="W94" s="22" t="n"/>
      <c r="X94" s="22" t="n"/>
      <c r="Y94" s="25" t="n"/>
      <c r="Z94" s="26" t="n"/>
      <c r="AA94" s="26" t="n"/>
      <c r="AB94" s="24">
        <f>IFERROR(Z94-AA94,0)</f>
        <v/>
      </c>
      <c r="AC94" s="22" t="n"/>
      <c r="AD94" s="27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3" t="n"/>
      <c r="U95" s="23" t="n"/>
      <c r="V95" s="24">
        <f>IFERROR(O95*U95,0)</f>
        <v/>
      </c>
      <c r="W95" s="22" t="n"/>
      <c r="X95" s="22" t="n"/>
      <c r="Y95" s="25" t="n"/>
      <c r="Z95" s="26" t="n"/>
      <c r="AA95" s="26" t="n"/>
      <c r="AB95" s="24">
        <f>IFERROR(Z95-AA95,0)</f>
        <v/>
      </c>
      <c r="AC95" s="22" t="n"/>
      <c r="AD95" s="27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3" t="n"/>
      <c r="U96" s="23" t="n"/>
      <c r="V96" s="24">
        <f>IFERROR(O96*U96,0)</f>
        <v/>
      </c>
      <c r="W96" s="22" t="n"/>
      <c r="X96" s="22" t="n"/>
      <c r="Y96" s="25" t="n"/>
      <c r="Z96" s="26" t="n"/>
      <c r="AA96" s="26" t="n"/>
      <c r="AB96" s="24">
        <f>IFERROR(Z96-AA96,0)</f>
        <v/>
      </c>
      <c r="AC96" s="22" t="n"/>
      <c r="AD96" s="27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3" t="n"/>
      <c r="U97" s="23" t="n"/>
      <c r="V97" s="24">
        <f>IFERROR(O97*U97,0)</f>
        <v/>
      </c>
      <c r="W97" s="22" t="n"/>
      <c r="X97" s="22" t="n"/>
      <c r="Y97" s="25" t="n"/>
      <c r="Z97" s="26" t="n"/>
      <c r="AA97" s="26" t="n"/>
      <c r="AB97" s="24">
        <f>IFERROR(Z97-AA97,0)</f>
        <v/>
      </c>
      <c r="AC97" s="22" t="n"/>
      <c r="AD97" s="27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3" t="n"/>
      <c r="U98" s="23" t="n"/>
      <c r="V98" s="24">
        <f>IFERROR(O98*U98,0)</f>
        <v/>
      </c>
      <c r="W98" s="22" t="n"/>
      <c r="X98" s="22" t="n"/>
      <c r="Y98" s="25" t="n"/>
      <c r="Z98" s="26" t="n"/>
      <c r="AA98" s="26" t="n"/>
      <c r="AB98" s="24">
        <f>IFERROR(Z98-AA98,0)</f>
        <v/>
      </c>
      <c r="AC98" s="22" t="n"/>
      <c r="AD98" s="27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3" t="n"/>
      <c r="U99" s="23" t="n"/>
      <c r="V99" s="24">
        <f>IFERROR(O99*U99,0)</f>
        <v/>
      </c>
      <c r="W99" s="22" t="n"/>
      <c r="X99" s="22" t="n"/>
      <c r="Y99" s="25" t="n"/>
      <c r="Z99" s="26" t="n"/>
      <c r="AA99" s="26" t="n"/>
      <c r="AB99" s="24">
        <f>IFERROR(Z99-AA99,0)</f>
        <v/>
      </c>
      <c r="AC99" s="22" t="n"/>
      <c r="AD99" s="27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3" t="n"/>
      <c r="U100" s="23" t="n"/>
      <c r="V100" s="24">
        <f>IFERROR(O100*U100,0)</f>
        <v/>
      </c>
      <c r="W100" s="22" t="n"/>
      <c r="X100" s="22" t="n"/>
      <c r="Y100" s="25" t="n"/>
      <c r="Z100" s="26" t="n"/>
      <c r="AA100" s="26" t="n"/>
      <c r="AB100" s="24">
        <f>IFERROR(Z100-AA100,0)</f>
        <v/>
      </c>
      <c r="AC100" s="22" t="n"/>
      <c r="AD100" s="27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3" t="n"/>
      <c r="U101" s="23" t="n"/>
      <c r="V101" s="24">
        <f>IFERROR(O101*U101,0)</f>
        <v/>
      </c>
      <c r="W101" s="22" t="n"/>
      <c r="X101" s="22" t="n"/>
      <c r="Y101" s="25" t="n"/>
      <c r="Z101" s="26" t="n"/>
      <c r="AA101" s="26" t="n"/>
      <c r="AB101" s="24">
        <f>IFERROR(Z101-AA101,0)</f>
        <v/>
      </c>
      <c r="AC101" s="22" t="n"/>
      <c r="AD101" s="27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3" t="n"/>
      <c r="U102" s="23" t="n"/>
      <c r="V102" s="24">
        <f>IFERROR(O102*U102,0)</f>
        <v/>
      </c>
      <c r="W102" s="22" t="n"/>
      <c r="X102" s="22" t="n"/>
      <c r="Y102" s="25" t="n"/>
      <c r="Z102" s="26" t="n"/>
      <c r="AA102" s="26" t="n"/>
      <c r="AB102" s="24">
        <f>IFERROR(Z102-AA102,0)</f>
        <v/>
      </c>
      <c r="AC102" s="22" t="n"/>
      <c r="AD102" s="27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3" t="n"/>
      <c r="U103" s="23" t="n"/>
      <c r="V103" s="24">
        <f>IFERROR(O103*U103,0)</f>
        <v/>
      </c>
      <c r="W103" s="22" t="n"/>
      <c r="X103" s="22" t="n"/>
      <c r="Y103" s="25" t="n"/>
      <c r="Z103" s="26" t="n"/>
      <c r="AA103" s="26" t="n"/>
      <c r="AB103" s="24">
        <f>IFERROR(Z103-AA103,0)</f>
        <v/>
      </c>
      <c r="AC103" s="22" t="n"/>
      <c r="AD103" s="27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3" t="n"/>
      <c r="U104" s="23" t="n"/>
      <c r="V104" s="24">
        <f>IFERROR(O104*U104,0)</f>
        <v/>
      </c>
      <c r="W104" s="22" t="n"/>
      <c r="X104" s="22" t="n"/>
      <c r="Y104" s="25" t="n"/>
      <c r="Z104" s="26" t="n"/>
      <c r="AA104" s="26" t="n"/>
      <c r="AB104" s="24">
        <f>IFERROR(Z104-AA104,0)</f>
        <v/>
      </c>
      <c r="AC104" s="22" t="n"/>
      <c r="AD104" s="27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3" t="n"/>
      <c r="U105" s="23" t="n"/>
      <c r="V105" s="24">
        <f>IFERROR(O105*U105,0)</f>
        <v/>
      </c>
      <c r="W105" s="22" t="n"/>
      <c r="X105" s="22" t="n"/>
      <c r="Y105" s="25" t="n"/>
      <c r="Z105" s="26" t="n"/>
      <c r="AA105" s="26" t="n"/>
      <c r="AB105" s="24">
        <f>IFERROR(Z105-AA105,0)</f>
        <v/>
      </c>
      <c r="AC105" s="22" t="n"/>
      <c r="AD105" s="27" t="n"/>
    </row>
    <row r="10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3" t="n"/>
      <c r="U106" s="23" t="n"/>
      <c r="V106" s="24">
        <f>IFERROR(O106*U106,0)</f>
        <v/>
      </c>
      <c r="W106" s="22" t="n"/>
      <c r="X106" s="22" t="n"/>
      <c r="Y106" s="25" t="n"/>
      <c r="Z106" s="26" t="n"/>
      <c r="AA106" s="26" t="n"/>
      <c r="AB106" s="24">
        <f>IFERROR(Z106-AA106,0)</f>
        <v/>
      </c>
      <c r="AC106" s="22" t="n"/>
      <c r="AD106" s="27" t="n"/>
    </row>
    <row r="107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3" t="n"/>
      <c r="U107" s="23" t="n"/>
      <c r="V107" s="24">
        <f>IFERROR(O107*U107,0)</f>
        <v/>
      </c>
      <c r="W107" s="22" t="n"/>
      <c r="X107" s="22" t="n"/>
      <c r="Y107" s="25" t="n"/>
      <c r="Z107" s="26" t="n"/>
      <c r="AA107" s="26" t="n"/>
      <c r="AB107" s="24">
        <f>IFERROR(Z107-AA107,0)</f>
        <v/>
      </c>
      <c r="AC107" s="22" t="n"/>
      <c r="AD107" s="27" t="n"/>
    </row>
    <row r="108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3" t="n"/>
      <c r="U108" s="23" t="n"/>
      <c r="V108" s="24">
        <f>IFERROR(O108*U108,0)</f>
        <v/>
      </c>
      <c r="W108" s="22" t="n"/>
      <c r="X108" s="22" t="n"/>
      <c r="Y108" s="25" t="n"/>
      <c r="Z108" s="26" t="n"/>
      <c r="AA108" s="26" t="n"/>
      <c r="AB108" s="24">
        <f>IFERROR(Z108-AA108,0)</f>
        <v/>
      </c>
      <c r="AC108" s="22" t="n"/>
      <c r="AD108" s="27" t="n"/>
    </row>
    <row r="10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3" t="n"/>
      <c r="U109" s="23" t="n"/>
      <c r="V109" s="24">
        <f>IFERROR(O109*U109,0)</f>
        <v/>
      </c>
      <c r="W109" s="22" t="n"/>
      <c r="X109" s="22" t="n"/>
      <c r="Y109" s="25" t="n"/>
      <c r="Z109" s="26" t="n"/>
      <c r="AA109" s="26" t="n"/>
      <c r="AB109" s="24">
        <f>IFERROR(Z109-AA109,0)</f>
        <v/>
      </c>
      <c r="AC109" s="22" t="n"/>
      <c r="AD109" s="27" t="n"/>
    </row>
    <row r="110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3" t="n"/>
      <c r="U110" s="23" t="n"/>
      <c r="V110" s="24">
        <f>IFERROR(O110*U110,0)</f>
        <v/>
      </c>
      <c r="W110" s="22" t="n"/>
      <c r="X110" s="22" t="n"/>
      <c r="Y110" s="25" t="n"/>
      <c r="Z110" s="26" t="n"/>
      <c r="AA110" s="26" t="n"/>
      <c r="AB110" s="24">
        <f>IFERROR(Z110-AA110,0)</f>
        <v/>
      </c>
      <c r="AC110" s="22" t="n"/>
      <c r="AD110" s="27" t="n"/>
    </row>
    <row r="11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3" t="n"/>
      <c r="U111" s="23" t="n"/>
      <c r="V111" s="24">
        <f>IFERROR(O111*U111,0)</f>
        <v/>
      </c>
      <c r="W111" s="22" t="n"/>
      <c r="X111" s="22" t="n"/>
      <c r="Y111" s="25" t="n"/>
      <c r="Z111" s="26" t="n"/>
      <c r="AA111" s="26" t="n"/>
      <c r="AB111" s="24">
        <f>IFERROR(Z111-AA111,0)</f>
        <v/>
      </c>
      <c r="AC111" s="22" t="n"/>
      <c r="AD111" s="27" t="n"/>
    </row>
    <row r="112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3" t="n"/>
      <c r="U112" s="23" t="n"/>
      <c r="V112" s="24">
        <f>IFERROR(O112*U112,0)</f>
        <v/>
      </c>
      <c r="W112" s="22" t="n"/>
      <c r="X112" s="22" t="n"/>
      <c r="Y112" s="25" t="n"/>
      <c r="Z112" s="26" t="n"/>
      <c r="AA112" s="26" t="n"/>
      <c r="AB112" s="24">
        <f>IFERROR(Z112-AA112,0)</f>
        <v/>
      </c>
      <c r="AC112" s="22" t="n"/>
      <c r="AD112" s="27" t="n"/>
    </row>
    <row r="113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3" t="n"/>
      <c r="U113" s="23" t="n"/>
      <c r="V113" s="24">
        <f>IFERROR(O113*U113,0)</f>
        <v/>
      </c>
      <c r="W113" s="22" t="n"/>
      <c r="X113" s="22" t="n"/>
      <c r="Y113" s="25" t="n"/>
      <c r="Z113" s="26" t="n"/>
      <c r="AA113" s="26" t="n"/>
      <c r="AB113" s="24">
        <f>IFERROR(Z113-AA113,0)</f>
        <v/>
      </c>
      <c r="AC113" s="22" t="n"/>
      <c r="AD113" s="27" t="n"/>
    </row>
    <row r="114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3" t="n"/>
      <c r="U114" s="23" t="n"/>
      <c r="V114" s="24">
        <f>IFERROR(O114*U114,0)</f>
        <v/>
      </c>
      <c r="W114" s="22" t="n"/>
      <c r="X114" s="22" t="n"/>
      <c r="Y114" s="25" t="n"/>
      <c r="Z114" s="26" t="n"/>
      <c r="AA114" s="26" t="n"/>
      <c r="AB114" s="24">
        <f>IFERROR(Z114-AA114,0)</f>
        <v/>
      </c>
      <c r="AC114" s="22" t="n"/>
      <c r="AD114" s="27" t="n"/>
    </row>
    <row r="115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3" t="n"/>
      <c r="U115" s="23" t="n"/>
      <c r="V115" s="24">
        <f>IFERROR(O115*U115,0)</f>
        <v/>
      </c>
      <c r="W115" s="22" t="n"/>
      <c r="X115" s="22" t="n"/>
      <c r="Y115" s="25" t="n"/>
      <c r="Z115" s="26" t="n"/>
      <c r="AA115" s="26" t="n"/>
      <c r="AB115" s="24">
        <f>IFERROR(Z115-AA115,0)</f>
        <v/>
      </c>
      <c r="AC115" s="22" t="n"/>
      <c r="AD115" s="27" t="n"/>
    </row>
    <row r="11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3" t="n"/>
      <c r="U116" s="23" t="n"/>
      <c r="V116" s="24">
        <f>IFERROR(O116*U116,0)</f>
        <v/>
      </c>
      <c r="W116" s="22" t="n"/>
      <c r="X116" s="22" t="n"/>
      <c r="Y116" s="25" t="n"/>
      <c r="Z116" s="26" t="n"/>
      <c r="AA116" s="26" t="n"/>
      <c r="AB116" s="24">
        <f>IFERROR(Z116-AA116,0)</f>
        <v/>
      </c>
      <c r="AC116" s="22" t="n"/>
      <c r="AD116" s="27" t="n"/>
    </row>
    <row r="117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3" t="n"/>
      <c r="U117" s="23" t="n"/>
      <c r="V117" s="24">
        <f>IFERROR(O117*U117,0)</f>
        <v/>
      </c>
      <c r="W117" s="22" t="n"/>
      <c r="X117" s="22" t="n"/>
      <c r="Y117" s="25" t="n"/>
      <c r="Z117" s="26" t="n"/>
      <c r="AA117" s="26" t="n"/>
      <c r="AB117" s="24">
        <f>IFERROR(Z117-AA117,0)</f>
        <v/>
      </c>
      <c r="AC117" s="22" t="n"/>
      <c r="AD117" s="27" t="n"/>
    </row>
    <row r="118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3" t="n"/>
      <c r="U118" s="23" t="n"/>
      <c r="V118" s="24">
        <f>IFERROR(O118*U118,0)</f>
        <v/>
      </c>
      <c r="W118" s="22" t="n"/>
      <c r="X118" s="22" t="n"/>
      <c r="Y118" s="25" t="n"/>
      <c r="Z118" s="26" t="n"/>
      <c r="AA118" s="26" t="n"/>
      <c r="AB118" s="24">
        <f>IFERROR(Z118-AA118,0)</f>
        <v/>
      </c>
      <c r="AC118" s="22" t="n"/>
      <c r="AD118" s="27" t="n"/>
    </row>
    <row r="11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3" t="n"/>
      <c r="U119" s="23" t="n"/>
      <c r="V119" s="24">
        <f>IFERROR(O119*U119,0)</f>
        <v/>
      </c>
      <c r="W119" s="22" t="n"/>
      <c r="X119" s="22" t="n"/>
      <c r="Y119" s="25" t="n"/>
      <c r="Z119" s="26" t="n"/>
      <c r="AA119" s="26" t="n"/>
      <c r="AB119" s="24">
        <f>IFERROR(Z119-AA119,0)</f>
        <v/>
      </c>
      <c r="AC119" s="22" t="n"/>
      <c r="AD119" s="27" t="n"/>
    </row>
    <row r="120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3" t="n"/>
      <c r="U120" s="23" t="n"/>
      <c r="V120" s="24">
        <f>IFERROR(O120*U120,0)</f>
        <v/>
      </c>
      <c r="W120" s="22" t="n"/>
      <c r="X120" s="22" t="n"/>
      <c r="Y120" s="25" t="n"/>
      <c r="Z120" s="26" t="n"/>
      <c r="AA120" s="26" t="n"/>
      <c r="AB120" s="24">
        <f>IFERROR(Z120-AA120,0)</f>
        <v/>
      </c>
      <c r="AC120" s="22" t="n"/>
      <c r="AD120" s="27" t="n"/>
    </row>
    <row r="12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3" t="n"/>
      <c r="U121" s="23" t="n"/>
      <c r="V121" s="24">
        <f>IFERROR(O121*U121,0)</f>
        <v/>
      </c>
      <c r="W121" s="22" t="n"/>
      <c r="X121" s="22" t="n"/>
      <c r="Y121" s="25" t="n"/>
      <c r="Z121" s="26" t="n"/>
      <c r="AA121" s="26" t="n"/>
      <c r="AB121" s="24">
        <f>IFERROR(Z121-AA121,0)</f>
        <v/>
      </c>
      <c r="AC121" s="22" t="n"/>
      <c r="AD121" s="27" t="n"/>
    </row>
    <row r="122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3" t="n"/>
      <c r="U122" s="23" t="n"/>
      <c r="V122" s="24">
        <f>IFERROR(O122*U122,0)</f>
        <v/>
      </c>
      <c r="W122" s="22" t="n"/>
      <c r="X122" s="22" t="n"/>
      <c r="Y122" s="25" t="n"/>
      <c r="Z122" s="26" t="n"/>
      <c r="AA122" s="26" t="n"/>
      <c r="AB122" s="24">
        <f>IFERROR(Z122-AA122,0)</f>
        <v/>
      </c>
      <c r="AC122" s="22" t="n"/>
      <c r="AD122" s="27" t="n"/>
    </row>
    <row r="123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3" t="n"/>
      <c r="U123" s="23" t="n"/>
      <c r="V123" s="24">
        <f>IFERROR(O123*U123,0)</f>
        <v/>
      </c>
      <c r="W123" s="22" t="n"/>
      <c r="X123" s="22" t="n"/>
      <c r="Y123" s="25" t="n"/>
      <c r="Z123" s="26" t="n"/>
      <c r="AA123" s="26" t="n"/>
      <c r="AB123" s="24">
        <f>IFERROR(Z123-AA123,0)</f>
        <v/>
      </c>
      <c r="AC123" s="22" t="n"/>
      <c r="AD123" s="27" t="n"/>
    </row>
    <row r="124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3" t="n"/>
      <c r="U124" s="23" t="n"/>
      <c r="V124" s="24">
        <f>IFERROR(O124*U124,0)</f>
        <v/>
      </c>
      <c r="W124" s="22" t="n"/>
      <c r="X124" s="22" t="n"/>
      <c r="Y124" s="25" t="n"/>
      <c r="Z124" s="26" t="n"/>
      <c r="AA124" s="26" t="n"/>
      <c r="AB124" s="24">
        <f>IFERROR(Z124-AA124,0)</f>
        <v/>
      </c>
      <c r="AC124" s="22" t="n"/>
      <c r="AD124" s="27" t="n"/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3" t="n"/>
      <c r="U125" s="23" t="n"/>
      <c r="V125" s="24">
        <f>IFERROR(O125*U125,0)</f>
        <v/>
      </c>
      <c r="W125" s="22" t="n"/>
      <c r="X125" s="22" t="n"/>
      <c r="Y125" s="25" t="n"/>
      <c r="Z125" s="26" t="n"/>
      <c r="AA125" s="26" t="n"/>
      <c r="AB125" s="24">
        <f>IFERROR(Z125-AA125,0)</f>
        <v/>
      </c>
      <c r="AC125" s="22" t="n"/>
      <c r="AD125" s="27" t="n"/>
    </row>
    <row r="12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3" t="n"/>
      <c r="U126" s="23" t="n"/>
      <c r="V126" s="24">
        <f>IFERROR(O126*U126,0)</f>
        <v/>
      </c>
      <c r="W126" s="22" t="n"/>
      <c r="X126" s="22" t="n"/>
      <c r="Y126" s="25" t="n"/>
      <c r="Z126" s="26" t="n"/>
      <c r="AA126" s="26" t="n"/>
      <c r="AB126" s="24">
        <f>IFERROR(Z126-AA126,0)</f>
        <v/>
      </c>
      <c r="AC126" s="22" t="n"/>
      <c r="AD126" s="27" t="n"/>
    </row>
    <row r="127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3" t="n"/>
      <c r="U127" s="23" t="n"/>
      <c r="V127" s="24">
        <f>IFERROR(O127*U127,0)</f>
        <v/>
      </c>
      <c r="W127" s="22" t="n"/>
      <c r="X127" s="22" t="n"/>
      <c r="Y127" s="25" t="n"/>
      <c r="Z127" s="26" t="n"/>
      <c r="AA127" s="26" t="n"/>
      <c r="AB127" s="24">
        <f>IFERROR(Z127-AA127,0)</f>
        <v/>
      </c>
      <c r="AC127" s="22" t="n"/>
      <c r="AD127" s="27" t="n"/>
    </row>
    <row r="128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3" t="n"/>
      <c r="U128" s="23" t="n"/>
      <c r="V128" s="24">
        <f>IFERROR(O128*U128,0)</f>
        <v/>
      </c>
      <c r="W128" s="22" t="n"/>
      <c r="X128" s="22" t="n"/>
      <c r="Y128" s="25" t="n"/>
      <c r="Z128" s="26" t="n"/>
      <c r="AA128" s="26" t="n"/>
      <c r="AB128" s="24">
        <f>IFERROR(Z128-AA128,0)</f>
        <v/>
      </c>
      <c r="AC128" s="22" t="n"/>
      <c r="AD128" s="27" t="n"/>
    </row>
    <row r="12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3" t="n"/>
      <c r="U129" s="23" t="n"/>
      <c r="V129" s="24">
        <f>IFERROR(O129*U129,0)</f>
        <v/>
      </c>
      <c r="W129" s="22" t="n"/>
      <c r="X129" s="22" t="n"/>
      <c r="Y129" s="25" t="n"/>
      <c r="Z129" s="26" t="n"/>
      <c r="AA129" s="26" t="n"/>
      <c r="AB129" s="24">
        <f>IFERROR(Z129-AA129,0)</f>
        <v/>
      </c>
      <c r="AC129" s="22" t="n"/>
      <c r="AD129" s="27" t="n"/>
    </row>
    <row r="130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3" t="n"/>
      <c r="U130" s="23" t="n"/>
      <c r="V130" s="24">
        <f>IFERROR(O130*U130,0)</f>
        <v/>
      </c>
      <c r="W130" s="22" t="n"/>
      <c r="X130" s="22" t="n"/>
      <c r="Y130" s="25" t="n"/>
      <c r="Z130" s="26" t="n"/>
      <c r="AA130" s="26" t="n"/>
      <c r="AB130" s="24">
        <f>IFERROR(Z130-AA130,0)</f>
        <v/>
      </c>
      <c r="AC130" s="22" t="n"/>
      <c r="AD130" s="27" t="n"/>
    </row>
    <row r="13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3" t="n"/>
      <c r="U131" s="23" t="n"/>
      <c r="V131" s="24">
        <f>IFERROR(O131*U131,0)</f>
        <v/>
      </c>
      <c r="W131" s="22" t="n"/>
      <c r="X131" s="22" t="n"/>
      <c r="Y131" s="25" t="n"/>
      <c r="Z131" s="26" t="n"/>
      <c r="AA131" s="26" t="n"/>
      <c r="AB131" s="24">
        <f>IFERROR(Z131-AA131,0)</f>
        <v/>
      </c>
      <c r="AC131" s="22" t="n"/>
      <c r="AD131" s="27" t="n"/>
    </row>
    <row r="132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3" t="n"/>
      <c r="U132" s="23" t="n"/>
      <c r="V132" s="24">
        <f>IFERROR(O132*U132,0)</f>
        <v/>
      </c>
      <c r="W132" s="22" t="n"/>
      <c r="X132" s="22" t="n"/>
      <c r="Y132" s="25" t="n"/>
      <c r="Z132" s="26" t="n"/>
      <c r="AA132" s="26" t="n"/>
      <c r="AB132" s="24">
        <f>IFERROR(Z132-AA132,0)</f>
        <v/>
      </c>
      <c r="AC132" s="22" t="n"/>
      <c r="AD132" s="27" t="n"/>
    </row>
    <row r="133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3" t="n"/>
      <c r="U133" s="23" t="n"/>
      <c r="V133" s="24">
        <f>IFERROR(O133*U133,0)</f>
        <v/>
      </c>
      <c r="W133" s="22" t="n"/>
      <c r="X133" s="22" t="n"/>
      <c r="Y133" s="25" t="n"/>
      <c r="Z133" s="26" t="n"/>
      <c r="AA133" s="26" t="n"/>
      <c r="AB133" s="24">
        <f>IFERROR(Z133-AA133,0)</f>
        <v/>
      </c>
      <c r="AC133" s="22" t="n"/>
      <c r="AD133" s="27" t="n"/>
    </row>
    <row r="134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3" t="n"/>
      <c r="U134" s="23" t="n"/>
      <c r="V134" s="24">
        <f>IFERROR(O134*U134,0)</f>
        <v/>
      </c>
      <c r="W134" s="22" t="n"/>
      <c r="X134" s="22" t="n"/>
      <c r="Y134" s="25" t="n"/>
      <c r="Z134" s="26" t="n"/>
      <c r="AA134" s="26" t="n"/>
      <c r="AB134" s="24">
        <f>IFERROR(Z134-AA134,0)</f>
        <v/>
      </c>
      <c r="AC134" s="22" t="n"/>
      <c r="AD134" s="27" t="n"/>
    </row>
    <row r="135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3" t="n"/>
      <c r="U135" s="23" t="n"/>
      <c r="V135" s="24">
        <f>IFERROR(O135*U135,0)</f>
        <v/>
      </c>
      <c r="W135" s="22" t="n"/>
      <c r="X135" s="22" t="n"/>
      <c r="Y135" s="25" t="n"/>
      <c r="Z135" s="26" t="n"/>
      <c r="AA135" s="26" t="n"/>
      <c r="AB135" s="24">
        <f>IFERROR(Z135-AA135,0)</f>
        <v/>
      </c>
      <c r="AC135" s="22" t="n"/>
      <c r="AD135" s="27" t="n"/>
    </row>
    <row r="13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3" t="n"/>
      <c r="U136" s="23" t="n"/>
      <c r="V136" s="24">
        <f>IFERROR(O136*U136,0)</f>
        <v/>
      </c>
      <c r="W136" s="22" t="n"/>
      <c r="X136" s="22" t="n"/>
      <c r="Y136" s="25" t="n"/>
      <c r="Z136" s="26" t="n"/>
      <c r="AA136" s="26" t="n"/>
      <c r="AB136" s="24">
        <f>IFERROR(Z136-AA136,0)</f>
        <v/>
      </c>
      <c r="AC136" s="22" t="n"/>
      <c r="AD136" s="27" t="n"/>
    </row>
    <row r="137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3" t="n"/>
      <c r="U137" s="23" t="n"/>
      <c r="V137" s="24">
        <f>IFERROR(O137*U137,0)</f>
        <v/>
      </c>
      <c r="W137" s="22" t="n"/>
      <c r="X137" s="22" t="n"/>
      <c r="Y137" s="25" t="n"/>
      <c r="Z137" s="26" t="n"/>
      <c r="AA137" s="26" t="n"/>
      <c r="AB137" s="24">
        <f>IFERROR(Z137-AA137,0)</f>
        <v/>
      </c>
      <c r="AC137" s="22" t="n"/>
      <c r="AD137" s="27" t="n"/>
    </row>
    <row r="138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3" t="n"/>
      <c r="U138" s="23" t="n"/>
      <c r="V138" s="24">
        <f>IFERROR(O138*U138,0)</f>
        <v/>
      </c>
      <c r="W138" s="22" t="n"/>
      <c r="X138" s="22" t="n"/>
      <c r="Y138" s="25" t="n"/>
      <c r="Z138" s="26" t="n"/>
      <c r="AA138" s="26" t="n"/>
      <c r="AB138" s="24">
        <f>IFERROR(Z138-AA138,0)</f>
        <v/>
      </c>
      <c r="AC138" s="22" t="n"/>
      <c r="AD138" s="27" t="n"/>
    </row>
    <row r="13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3" t="n"/>
      <c r="U139" s="23" t="n"/>
      <c r="V139" s="24">
        <f>IFERROR(O139*U139,0)</f>
        <v/>
      </c>
      <c r="W139" s="22" t="n"/>
      <c r="X139" s="22" t="n"/>
      <c r="Y139" s="25" t="n"/>
      <c r="Z139" s="26" t="n"/>
      <c r="AA139" s="26" t="n"/>
      <c r="AB139" s="24">
        <f>IFERROR(Z139-AA139,0)</f>
        <v/>
      </c>
      <c r="AC139" s="22" t="n"/>
      <c r="AD139" s="27" t="n"/>
    </row>
    <row r="140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3" t="n"/>
      <c r="U140" s="23" t="n"/>
      <c r="V140" s="24">
        <f>IFERROR(O140*U140,0)</f>
        <v/>
      </c>
      <c r="W140" s="22" t="n"/>
      <c r="X140" s="22" t="n"/>
      <c r="Y140" s="25" t="n"/>
      <c r="Z140" s="26" t="n"/>
      <c r="AA140" s="26" t="n"/>
      <c r="AB140" s="24">
        <f>IFERROR(Z140-AA140,0)</f>
        <v/>
      </c>
      <c r="AC140" s="22" t="n"/>
      <c r="AD140" s="27" t="n"/>
    </row>
    <row r="14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3" t="n"/>
      <c r="U141" s="23" t="n"/>
      <c r="V141" s="24">
        <f>IFERROR(O141*U141,0)</f>
        <v/>
      </c>
      <c r="W141" s="22" t="n"/>
      <c r="X141" s="22" t="n"/>
      <c r="Y141" s="25" t="n"/>
      <c r="Z141" s="26" t="n"/>
      <c r="AA141" s="26" t="n"/>
      <c r="AB141" s="24">
        <f>IFERROR(Z141-AA141,0)</f>
        <v/>
      </c>
      <c r="AC141" s="22" t="n"/>
      <c r="AD141" s="27" t="n"/>
    </row>
    <row r="142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3" t="n"/>
      <c r="U142" s="23" t="n"/>
      <c r="V142" s="24">
        <f>IFERROR(O142*U142,0)</f>
        <v/>
      </c>
      <c r="W142" s="22" t="n"/>
      <c r="X142" s="22" t="n"/>
      <c r="Y142" s="25" t="n"/>
      <c r="Z142" s="26" t="n"/>
      <c r="AA142" s="26" t="n"/>
      <c r="AB142" s="24">
        <f>IFERROR(Z142-AA142,0)</f>
        <v/>
      </c>
      <c r="AC142" s="22" t="n"/>
      <c r="AD142" s="27" t="n"/>
    </row>
    <row r="143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3" t="n"/>
      <c r="U143" s="23" t="n"/>
      <c r="V143" s="24">
        <f>IFERROR(O143*U143,0)</f>
        <v/>
      </c>
      <c r="W143" s="22" t="n"/>
      <c r="X143" s="22" t="n"/>
      <c r="Y143" s="25" t="n"/>
      <c r="Z143" s="26" t="n"/>
      <c r="AA143" s="26" t="n"/>
      <c r="AB143" s="24">
        <f>IFERROR(Z143-AA143,0)</f>
        <v/>
      </c>
      <c r="AC143" s="22" t="n"/>
      <c r="AD143" s="27" t="n"/>
    </row>
    <row r="144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3" t="n"/>
      <c r="U144" s="23" t="n"/>
      <c r="V144" s="24">
        <f>IFERROR(O144*U144,0)</f>
        <v/>
      </c>
      <c r="W144" s="22" t="n"/>
      <c r="X144" s="22" t="n"/>
      <c r="Y144" s="25" t="n"/>
      <c r="Z144" s="26" t="n"/>
      <c r="AA144" s="26" t="n"/>
      <c r="AB144" s="24">
        <f>IFERROR(Z144-AA144,0)</f>
        <v/>
      </c>
      <c r="AC144" s="22" t="n"/>
      <c r="AD144" s="27" t="n"/>
    </row>
    <row r="145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3" t="n"/>
      <c r="U145" s="23" t="n"/>
      <c r="V145" s="24">
        <f>IFERROR(O145*U145,0)</f>
        <v/>
      </c>
      <c r="W145" s="22" t="n"/>
      <c r="X145" s="22" t="n"/>
      <c r="Y145" s="25" t="n"/>
      <c r="Z145" s="26" t="n"/>
      <c r="AA145" s="26" t="n"/>
      <c r="AB145" s="24">
        <f>IFERROR(Z145-AA145,0)</f>
        <v/>
      </c>
      <c r="AC145" s="22" t="n"/>
      <c r="AD145" s="27" t="n"/>
    </row>
    <row r="14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3" t="n"/>
      <c r="U146" s="23" t="n"/>
      <c r="V146" s="24">
        <f>IFERROR(O146*U146,0)</f>
        <v/>
      </c>
      <c r="W146" s="22" t="n"/>
      <c r="X146" s="22" t="n"/>
      <c r="Y146" s="25" t="n"/>
      <c r="Z146" s="26" t="n"/>
      <c r="AA146" s="26" t="n"/>
      <c r="AB146" s="24">
        <f>IFERROR(Z146-AA146,0)</f>
        <v/>
      </c>
      <c r="AC146" s="22" t="n"/>
      <c r="AD146" s="27" t="n"/>
    </row>
    <row r="147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3" t="n"/>
      <c r="U147" s="23" t="n"/>
      <c r="V147" s="24">
        <f>IFERROR(O147*U147,0)</f>
        <v/>
      </c>
      <c r="W147" s="22" t="n"/>
      <c r="X147" s="22" t="n"/>
      <c r="Y147" s="25" t="n"/>
      <c r="Z147" s="26" t="n"/>
      <c r="AA147" s="26" t="n"/>
      <c r="AB147" s="24">
        <f>IFERROR(Z147-AA147,0)</f>
        <v/>
      </c>
      <c r="AC147" s="22" t="n"/>
      <c r="AD147" s="27" t="n"/>
    </row>
    <row r="148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3" t="n"/>
      <c r="U148" s="23" t="n"/>
      <c r="V148" s="24">
        <f>IFERROR(O148*U148,0)</f>
        <v/>
      </c>
      <c r="W148" s="22" t="n"/>
      <c r="X148" s="22" t="n"/>
      <c r="Y148" s="25" t="n"/>
      <c r="Z148" s="26" t="n"/>
      <c r="AA148" s="26" t="n"/>
      <c r="AB148" s="24">
        <f>IFERROR(Z148-AA148,0)</f>
        <v/>
      </c>
      <c r="AC148" s="22" t="n"/>
      <c r="AD148" s="27" t="n"/>
    </row>
    <row r="14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3" t="n"/>
      <c r="U149" s="23" t="n"/>
      <c r="V149" s="24">
        <f>IFERROR(O149*U149,0)</f>
        <v/>
      </c>
      <c r="W149" s="22" t="n"/>
      <c r="X149" s="22" t="n"/>
      <c r="Y149" s="25" t="n"/>
      <c r="Z149" s="26" t="n"/>
      <c r="AA149" s="26" t="n"/>
      <c r="AB149" s="24">
        <f>IFERROR(Z149-AA149,0)</f>
        <v/>
      </c>
      <c r="AC149" s="22" t="n"/>
      <c r="AD149" s="27" t="n"/>
    </row>
    <row r="150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3" t="n"/>
      <c r="U150" s="23" t="n"/>
      <c r="V150" s="24">
        <f>IFERROR(O150*U150,0)</f>
        <v/>
      </c>
      <c r="W150" s="22" t="n"/>
      <c r="X150" s="22" t="n"/>
      <c r="Y150" s="25" t="n"/>
      <c r="Z150" s="26" t="n"/>
      <c r="AA150" s="26" t="n"/>
      <c r="AB150" s="24">
        <f>IFERROR(Z150-AA150,0)</f>
        <v/>
      </c>
      <c r="AC150" s="22" t="n"/>
      <c r="AD150" s="27" t="n"/>
    </row>
    <row r="15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3" t="n"/>
      <c r="U151" s="23" t="n"/>
      <c r="V151" s="24">
        <f>IFERROR(O151*U151,0)</f>
        <v/>
      </c>
      <c r="W151" s="22" t="n"/>
      <c r="X151" s="22" t="n"/>
      <c r="Y151" s="25" t="n"/>
      <c r="Z151" s="26" t="n"/>
      <c r="AA151" s="26" t="n"/>
      <c r="AB151" s="24">
        <f>IFERROR(Z151-AA151,0)</f>
        <v/>
      </c>
      <c r="AC151" s="22" t="n"/>
      <c r="AD151" s="27" t="n"/>
    </row>
    <row r="152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3" t="n"/>
      <c r="U152" s="23" t="n"/>
      <c r="V152" s="24">
        <f>IFERROR(O152*U152,0)</f>
        <v/>
      </c>
      <c r="W152" s="22" t="n"/>
      <c r="X152" s="22" t="n"/>
      <c r="Y152" s="25" t="n"/>
      <c r="Z152" s="26" t="n"/>
      <c r="AA152" s="26" t="n"/>
      <c r="AB152" s="24">
        <f>IFERROR(Z152-AA152,0)</f>
        <v/>
      </c>
      <c r="AC152" s="22" t="n"/>
      <c r="AD152" s="27" t="n"/>
    </row>
    <row r="153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3" t="n"/>
      <c r="U153" s="23" t="n"/>
      <c r="V153" s="24">
        <f>IFERROR(O153*U153,0)</f>
        <v/>
      </c>
      <c r="W153" s="22" t="n"/>
      <c r="X153" s="22" t="n"/>
      <c r="Y153" s="25" t="n"/>
      <c r="Z153" s="26" t="n"/>
      <c r="AA153" s="26" t="n"/>
      <c r="AB153" s="24">
        <f>IFERROR(Z153-AA153,0)</f>
        <v/>
      </c>
      <c r="AC153" s="22" t="n"/>
      <c r="AD153" s="27" t="n"/>
    </row>
    <row r="154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3" t="n"/>
      <c r="U154" s="23" t="n"/>
      <c r="V154" s="24">
        <f>IFERROR(O154*U154,0)</f>
        <v/>
      </c>
      <c r="W154" s="22" t="n"/>
      <c r="X154" s="22" t="n"/>
      <c r="Y154" s="25" t="n"/>
      <c r="Z154" s="26" t="n"/>
      <c r="AA154" s="26" t="n"/>
      <c r="AB154" s="24">
        <f>IFERROR(Z154-AA154,0)</f>
        <v/>
      </c>
      <c r="AC154" s="22" t="n"/>
      <c r="AD154" s="27" t="n"/>
    </row>
    <row r="155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3" t="n"/>
      <c r="U155" s="23" t="n"/>
      <c r="V155" s="24">
        <f>IFERROR(O155*U155,0)</f>
        <v/>
      </c>
      <c r="W155" s="22" t="n"/>
      <c r="X155" s="22" t="n"/>
      <c r="Y155" s="25" t="n"/>
      <c r="Z155" s="26" t="n"/>
      <c r="AA155" s="26" t="n"/>
      <c r="AB155" s="24">
        <f>IFERROR(Z155-AA155,0)</f>
        <v/>
      </c>
      <c r="AC155" s="22" t="n"/>
      <c r="AD155" s="27" t="n"/>
    </row>
    <row r="15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3" t="n"/>
      <c r="U156" s="23" t="n"/>
      <c r="V156" s="24">
        <f>IFERROR(O156*U156,0)</f>
        <v/>
      </c>
      <c r="W156" s="22" t="n"/>
      <c r="X156" s="22" t="n"/>
      <c r="Y156" s="25" t="n"/>
      <c r="Z156" s="26" t="n"/>
      <c r="AA156" s="26" t="n"/>
      <c r="AB156" s="24">
        <f>IFERROR(Z156-AA156,0)</f>
        <v/>
      </c>
      <c r="AC156" s="22" t="n"/>
      <c r="AD156" s="27" t="n"/>
    </row>
    <row r="157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3" t="n"/>
      <c r="U157" s="23" t="n"/>
      <c r="V157" s="24">
        <f>IFERROR(O157*U157,0)</f>
        <v/>
      </c>
      <c r="W157" s="22" t="n"/>
      <c r="X157" s="22" t="n"/>
      <c r="Y157" s="25" t="n"/>
      <c r="Z157" s="26" t="n"/>
      <c r="AA157" s="26" t="n"/>
      <c r="AB157" s="24">
        <f>IFERROR(Z157-AA157,0)</f>
        <v/>
      </c>
      <c r="AC157" s="22" t="n"/>
      <c r="AD157" s="27" t="n"/>
    </row>
    <row r="158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3" t="n"/>
      <c r="U158" s="23" t="n"/>
      <c r="V158" s="24">
        <f>IFERROR(O158*U158,0)</f>
        <v/>
      </c>
      <c r="W158" s="22" t="n"/>
      <c r="X158" s="22" t="n"/>
      <c r="Y158" s="25" t="n"/>
      <c r="Z158" s="26" t="n"/>
      <c r="AA158" s="26" t="n"/>
      <c r="AB158" s="24">
        <f>IFERROR(Z158-AA158,0)</f>
        <v/>
      </c>
      <c r="AC158" s="22" t="n"/>
      <c r="AD158" s="27" t="n"/>
    </row>
    <row r="15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3" t="n"/>
      <c r="U159" s="23" t="n"/>
      <c r="V159" s="24">
        <f>IFERROR(O159*U159,0)</f>
        <v/>
      </c>
      <c r="W159" s="22" t="n"/>
      <c r="X159" s="22" t="n"/>
      <c r="Y159" s="25" t="n"/>
      <c r="Z159" s="26" t="n"/>
      <c r="AA159" s="26" t="n"/>
      <c r="AB159" s="24">
        <f>IFERROR(Z159-AA159,0)</f>
        <v/>
      </c>
      <c r="AC159" s="22" t="n"/>
      <c r="AD159" s="27" t="n"/>
    </row>
    <row r="160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3" t="n"/>
      <c r="U160" s="23" t="n"/>
      <c r="V160" s="24">
        <f>IFERROR(O160*U160,0)</f>
        <v/>
      </c>
      <c r="W160" s="22" t="n"/>
      <c r="X160" s="22" t="n"/>
      <c r="Y160" s="25" t="n"/>
      <c r="Z160" s="26" t="n"/>
      <c r="AA160" s="26" t="n"/>
      <c r="AB160" s="24">
        <f>IFERROR(Z160-AA160,0)</f>
        <v/>
      </c>
      <c r="AC160" s="22" t="n"/>
      <c r="AD160" s="27" t="n"/>
    </row>
    <row r="16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3" t="n"/>
      <c r="U161" s="23" t="n"/>
      <c r="V161" s="24">
        <f>IFERROR(O161*U161,0)</f>
        <v/>
      </c>
      <c r="W161" s="22" t="n"/>
      <c r="X161" s="22" t="n"/>
      <c r="Y161" s="25" t="n"/>
      <c r="Z161" s="26" t="n"/>
      <c r="AA161" s="26" t="n"/>
      <c r="AB161" s="24">
        <f>IFERROR(Z161-AA161,0)</f>
        <v/>
      </c>
      <c r="AC161" s="22" t="n"/>
      <c r="AD161" s="27" t="n"/>
    </row>
    <row r="162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3" t="n"/>
      <c r="U162" s="23" t="n"/>
      <c r="V162" s="24">
        <f>IFERROR(O162*U162,0)</f>
        <v/>
      </c>
      <c r="W162" s="22" t="n"/>
      <c r="X162" s="22" t="n"/>
      <c r="Y162" s="25" t="n"/>
      <c r="Z162" s="26" t="n"/>
      <c r="AA162" s="26" t="n"/>
      <c r="AB162" s="24">
        <f>IFERROR(Z162-AA162,0)</f>
        <v/>
      </c>
      <c r="AC162" s="22" t="n"/>
      <c r="AD162" s="27" t="n"/>
    </row>
    <row r="163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3" t="n"/>
      <c r="U163" s="23" t="n"/>
      <c r="V163" s="24">
        <f>IFERROR(O163*U163,0)</f>
        <v/>
      </c>
      <c r="W163" s="22" t="n"/>
      <c r="X163" s="22" t="n"/>
      <c r="Y163" s="25" t="n"/>
      <c r="Z163" s="26" t="n"/>
      <c r="AA163" s="26" t="n"/>
      <c r="AB163" s="24">
        <f>IFERROR(Z163-AA163,0)</f>
        <v/>
      </c>
      <c r="AC163" s="22" t="n"/>
      <c r="AD163" s="27" t="n"/>
    </row>
    <row r="164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3" t="n"/>
      <c r="U164" s="23" t="n"/>
      <c r="V164" s="24">
        <f>IFERROR(O164*U164,0)</f>
        <v/>
      </c>
      <c r="W164" s="22" t="n"/>
      <c r="X164" s="22" t="n"/>
      <c r="Y164" s="25" t="n"/>
      <c r="Z164" s="26" t="n"/>
      <c r="AA164" s="26" t="n"/>
      <c r="AB164" s="24">
        <f>IFERROR(Z164-AA164,0)</f>
        <v/>
      </c>
      <c r="AC164" s="22" t="n"/>
      <c r="AD164" s="27" t="n"/>
    </row>
    <row r="165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3" t="n"/>
      <c r="U165" s="23" t="n"/>
      <c r="V165" s="24">
        <f>IFERROR(O165*U165,0)</f>
        <v/>
      </c>
      <c r="W165" s="22" t="n"/>
      <c r="X165" s="22" t="n"/>
      <c r="Y165" s="25" t="n"/>
      <c r="Z165" s="26" t="n"/>
      <c r="AA165" s="26" t="n"/>
      <c r="AB165" s="24">
        <f>IFERROR(Z165-AA165,0)</f>
        <v/>
      </c>
      <c r="AC165" s="22" t="n"/>
      <c r="AD165" s="27" t="n"/>
    </row>
    <row r="16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3" t="n"/>
      <c r="U166" s="23" t="n"/>
      <c r="V166" s="24">
        <f>IFERROR(O166*U166,0)</f>
        <v/>
      </c>
      <c r="W166" s="22" t="n"/>
      <c r="X166" s="22" t="n"/>
      <c r="Y166" s="25" t="n"/>
      <c r="Z166" s="26" t="n"/>
      <c r="AA166" s="26" t="n"/>
      <c r="AB166" s="24">
        <f>IFERROR(Z166-AA166,0)</f>
        <v/>
      </c>
      <c r="AC166" s="22" t="n"/>
      <c r="AD166" s="27" t="n"/>
    </row>
    <row r="167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3" t="n"/>
      <c r="U167" s="23" t="n"/>
      <c r="V167" s="24">
        <f>IFERROR(O167*U167,0)</f>
        <v/>
      </c>
      <c r="W167" s="22" t="n"/>
      <c r="X167" s="22" t="n"/>
      <c r="Y167" s="25" t="n"/>
      <c r="Z167" s="26" t="n"/>
      <c r="AA167" s="26" t="n"/>
      <c r="AB167" s="24">
        <f>IFERROR(Z167-AA167,0)</f>
        <v/>
      </c>
      <c r="AC167" s="22" t="n"/>
      <c r="AD167" s="27" t="n"/>
    </row>
    <row r="168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3" t="n"/>
      <c r="U168" s="23" t="n"/>
      <c r="V168" s="24">
        <f>IFERROR(O168*U168,0)</f>
        <v/>
      </c>
      <c r="W168" s="22" t="n"/>
      <c r="X168" s="22" t="n"/>
      <c r="Y168" s="25" t="n"/>
      <c r="Z168" s="26" t="n"/>
      <c r="AA168" s="26" t="n"/>
      <c r="AB168" s="24">
        <f>IFERROR(Z168-AA168,0)</f>
        <v/>
      </c>
      <c r="AC168" s="22" t="n"/>
      <c r="AD168" s="27" t="n"/>
    </row>
    <row r="16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3" t="n"/>
      <c r="U169" s="23" t="n"/>
      <c r="V169" s="24">
        <f>IFERROR(O169*U169,0)</f>
        <v/>
      </c>
      <c r="W169" s="22" t="n"/>
      <c r="X169" s="22" t="n"/>
      <c r="Y169" s="25" t="n"/>
      <c r="Z169" s="26" t="n"/>
      <c r="AA169" s="26" t="n"/>
      <c r="AB169" s="24">
        <f>IFERROR(Z169-AA169,0)</f>
        <v/>
      </c>
      <c r="AC169" s="22" t="n"/>
      <c r="AD169" s="27" t="n"/>
    </row>
    <row r="170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3" t="n"/>
      <c r="U170" s="23" t="n"/>
      <c r="V170" s="24">
        <f>IFERROR(O170*U170,0)</f>
        <v/>
      </c>
      <c r="W170" s="22" t="n"/>
      <c r="X170" s="22" t="n"/>
      <c r="Y170" s="25" t="n"/>
      <c r="Z170" s="26" t="n"/>
      <c r="AA170" s="26" t="n"/>
      <c r="AB170" s="24">
        <f>IFERROR(Z170-AA170,0)</f>
        <v/>
      </c>
      <c r="AC170" s="22" t="n"/>
      <c r="AD170" s="27" t="n"/>
    </row>
    <row r="17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3" t="n"/>
      <c r="U171" s="23" t="n"/>
      <c r="V171" s="24">
        <f>IFERROR(O171*U171,0)</f>
        <v/>
      </c>
      <c r="W171" s="22" t="n"/>
      <c r="X171" s="22" t="n"/>
      <c r="Y171" s="25" t="n"/>
      <c r="Z171" s="26" t="n"/>
      <c r="AA171" s="26" t="n"/>
      <c r="AB171" s="24">
        <f>IFERROR(Z171-AA171,0)</f>
        <v/>
      </c>
      <c r="AC171" s="22" t="n"/>
      <c r="AD171" s="27" t="n"/>
    </row>
    <row r="172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3" t="n"/>
      <c r="U172" s="23" t="n"/>
      <c r="V172" s="24">
        <f>IFERROR(O172*U172,0)</f>
        <v/>
      </c>
      <c r="W172" s="22" t="n"/>
      <c r="X172" s="22" t="n"/>
      <c r="Y172" s="25" t="n"/>
      <c r="Z172" s="26" t="n"/>
      <c r="AA172" s="26" t="n"/>
      <c r="AB172" s="24">
        <f>IFERROR(Z172-AA172,0)</f>
        <v/>
      </c>
      <c r="AC172" s="22" t="n"/>
      <c r="AD172" s="27" t="n"/>
    </row>
    <row r="173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3" t="n"/>
      <c r="U173" s="23" t="n"/>
      <c r="V173" s="24">
        <f>IFERROR(O173*U173,0)</f>
        <v/>
      </c>
      <c r="W173" s="22" t="n"/>
      <c r="X173" s="22" t="n"/>
      <c r="Y173" s="25" t="n"/>
      <c r="Z173" s="26" t="n"/>
      <c r="AA173" s="26" t="n"/>
      <c r="AB173" s="24">
        <f>IFERROR(Z173-AA173,0)</f>
        <v/>
      </c>
      <c r="AC173" s="22" t="n"/>
      <c r="AD173" s="27" t="n"/>
    </row>
    <row r="174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3" t="n"/>
      <c r="U174" s="23" t="n"/>
      <c r="V174" s="24">
        <f>IFERROR(O174*U174,0)</f>
        <v/>
      </c>
      <c r="W174" s="22" t="n"/>
      <c r="X174" s="22" t="n"/>
      <c r="Y174" s="25" t="n"/>
      <c r="Z174" s="26" t="n"/>
      <c r="AA174" s="26" t="n"/>
      <c r="AB174" s="24">
        <f>IFERROR(Z174-AA174,0)</f>
        <v/>
      </c>
      <c r="AC174" s="22" t="n"/>
      <c r="AD174" s="27" t="n"/>
    </row>
    <row r="175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3" t="n"/>
      <c r="U175" s="23" t="n"/>
      <c r="V175" s="24">
        <f>IFERROR(O175*U175,0)</f>
        <v/>
      </c>
      <c r="W175" s="22" t="n"/>
      <c r="X175" s="22" t="n"/>
      <c r="Y175" s="25" t="n"/>
      <c r="Z175" s="26" t="n"/>
      <c r="AA175" s="26" t="n"/>
      <c r="AB175" s="24">
        <f>IFERROR(Z175-AA175,0)</f>
        <v/>
      </c>
      <c r="AC175" s="22" t="n"/>
      <c r="AD175" s="27" t="n"/>
    </row>
    <row r="17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3" t="n"/>
      <c r="U176" s="23" t="n"/>
      <c r="V176" s="24">
        <f>IFERROR(O176*U176,0)</f>
        <v/>
      </c>
      <c r="W176" s="22" t="n"/>
      <c r="X176" s="22" t="n"/>
      <c r="Y176" s="25" t="n"/>
      <c r="Z176" s="26" t="n"/>
      <c r="AA176" s="26" t="n"/>
      <c r="AB176" s="24">
        <f>IFERROR(Z176-AA176,0)</f>
        <v/>
      </c>
      <c r="AC176" s="22" t="n"/>
      <c r="AD176" s="27" t="n"/>
    </row>
    <row r="177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3" t="n"/>
      <c r="U177" s="23" t="n"/>
      <c r="V177" s="24">
        <f>IFERROR(O177*U177,0)</f>
        <v/>
      </c>
      <c r="W177" s="22" t="n"/>
      <c r="X177" s="22" t="n"/>
      <c r="Y177" s="25" t="n"/>
      <c r="Z177" s="26" t="n"/>
      <c r="AA177" s="26" t="n"/>
      <c r="AB177" s="24">
        <f>IFERROR(Z177-AA177,0)</f>
        <v/>
      </c>
      <c r="AC177" s="22" t="n"/>
      <c r="AD177" s="27" t="n"/>
    </row>
    <row r="178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3" t="n"/>
      <c r="U178" s="23" t="n"/>
      <c r="V178" s="24">
        <f>IFERROR(O178*U178,0)</f>
        <v/>
      </c>
      <c r="W178" s="22" t="n"/>
      <c r="X178" s="22" t="n"/>
      <c r="Y178" s="25" t="n"/>
      <c r="Z178" s="26" t="n"/>
      <c r="AA178" s="26" t="n"/>
      <c r="AB178" s="24">
        <f>IFERROR(Z178-AA178,0)</f>
        <v/>
      </c>
      <c r="AC178" s="22" t="n"/>
      <c r="AD178" s="27" t="n"/>
    </row>
    <row r="17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3" t="n"/>
      <c r="U179" s="23" t="n"/>
      <c r="V179" s="24">
        <f>IFERROR(O179*U179,0)</f>
        <v/>
      </c>
      <c r="W179" s="22" t="n"/>
      <c r="X179" s="22" t="n"/>
      <c r="Y179" s="25" t="n"/>
      <c r="Z179" s="26" t="n"/>
      <c r="AA179" s="26" t="n"/>
      <c r="AB179" s="24">
        <f>IFERROR(Z179-AA179,0)</f>
        <v/>
      </c>
      <c r="AC179" s="22" t="n"/>
      <c r="AD179" s="27" t="n"/>
    </row>
    <row r="180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3" t="n"/>
      <c r="U180" s="23" t="n"/>
      <c r="V180" s="24">
        <f>IFERROR(O180*U180,0)</f>
        <v/>
      </c>
      <c r="W180" s="22" t="n"/>
      <c r="X180" s="22" t="n"/>
      <c r="Y180" s="25" t="n"/>
      <c r="Z180" s="26" t="n"/>
      <c r="AA180" s="26" t="n"/>
      <c r="AB180" s="24">
        <f>IFERROR(Z180-AA180,0)</f>
        <v/>
      </c>
      <c r="AC180" s="22" t="n"/>
      <c r="AD180" s="27" t="n"/>
    </row>
    <row r="18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3" t="n"/>
      <c r="U181" s="23" t="n"/>
      <c r="V181" s="24">
        <f>IFERROR(O181*U181,0)</f>
        <v/>
      </c>
      <c r="W181" s="22" t="n"/>
      <c r="X181" s="22" t="n"/>
      <c r="Y181" s="25" t="n"/>
      <c r="Z181" s="26" t="n"/>
      <c r="AA181" s="26" t="n"/>
      <c r="AB181" s="24">
        <f>IFERROR(Z181-AA181,0)</f>
        <v/>
      </c>
      <c r="AC181" s="22" t="n"/>
      <c r="AD181" s="27" t="n"/>
    </row>
    <row r="182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3" t="n"/>
      <c r="U182" s="23" t="n"/>
      <c r="V182" s="24">
        <f>IFERROR(O182*U182,0)</f>
        <v/>
      </c>
      <c r="W182" s="22" t="n"/>
      <c r="X182" s="22" t="n"/>
      <c r="Y182" s="25" t="n"/>
      <c r="Z182" s="26" t="n"/>
      <c r="AA182" s="26" t="n"/>
      <c r="AB182" s="24">
        <f>IFERROR(Z182-AA182,0)</f>
        <v/>
      </c>
      <c r="AC182" s="22" t="n"/>
      <c r="AD182" s="27" t="n"/>
    </row>
    <row r="183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3" t="n"/>
      <c r="U183" s="23" t="n"/>
      <c r="V183" s="24">
        <f>IFERROR(O183*U183,0)</f>
        <v/>
      </c>
      <c r="W183" s="22" t="n"/>
      <c r="X183" s="22" t="n"/>
      <c r="Y183" s="25" t="n"/>
      <c r="Z183" s="26" t="n"/>
      <c r="AA183" s="26" t="n"/>
      <c r="AB183" s="24">
        <f>IFERROR(Z183-AA183,0)</f>
        <v/>
      </c>
      <c r="AC183" s="22" t="n"/>
      <c r="AD183" s="27" t="n"/>
    </row>
    <row r="184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3" t="n"/>
      <c r="U184" s="23" t="n"/>
      <c r="V184" s="24">
        <f>IFERROR(O184*U184,0)</f>
        <v/>
      </c>
      <c r="W184" s="22" t="n"/>
      <c r="X184" s="22" t="n"/>
      <c r="Y184" s="25" t="n"/>
      <c r="Z184" s="26" t="n"/>
      <c r="AA184" s="26" t="n"/>
      <c r="AB184" s="24">
        <f>IFERROR(Z184-AA184,0)</f>
        <v/>
      </c>
      <c r="AC184" s="22" t="n"/>
      <c r="AD184" s="27" t="n"/>
    </row>
    <row r="185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3" t="n"/>
      <c r="U185" s="23" t="n"/>
      <c r="V185" s="24">
        <f>IFERROR(O185*U185,0)</f>
        <v/>
      </c>
      <c r="W185" s="22" t="n"/>
      <c r="X185" s="22" t="n"/>
      <c r="Y185" s="25" t="n"/>
      <c r="Z185" s="26" t="n"/>
      <c r="AA185" s="26" t="n"/>
      <c r="AB185" s="24">
        <f>IFERROR(Z185-AA185,0)</f>
        <v/>
      </c>
      <c r="AC185" s="22" t="n"/>
      <c r="AD185" s="27" t="n"/>
    </row>
    <row r="1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3" t="n"/>
      <c r="U186" s="23" t="n"/>
      <c r="V186" s="24">
        <f>IFERROR(O186*U186,0)</f>
        <v/>
      </c>
      <c r="W186" s="22" t="n"/>
      <c r="X186" s="22" t="n"/>
      <c r="Y186" s="25" t="n"/>
      <c r="Z186" s="26" t="n"/>
      <c r="AA186" s="26" t="n"/>
      <c r="AB186" s="24">
        <f>IFERROR(Z186-AA186,0)</f>
        <v/>
      </c>
      <c r="AC186" s="22" t="n"/>
      <c r="AD186" s="27" t="n"/>
    </row>
    <row r="187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3" t="n"/>
      <c r="U187" s="23" t="n"/>
      <c r="V187" s="24">
        <f>IFERROR(O187*U187,0)</f>
        <v/>
      </c>
      <c r="W187" s="22" t="n"/>
      <c r="X187" s="22" t="n"/>
      <c r="Y187" s="25" t="n"/>
      <c r="Z187" s="26" t="n"/>
      <c r="AA187" s="26" t="n"/>
      <c r="AB187" s="24">
        <f>IFERROR(Z187-AA187,0)</f>
        <v/>
      </c>
      <c r="AC187" s="22" t="n"/>
      <c r="AD187" s="27" t="n"/>
    </row>
    <row r="188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3" t="n"/>
      <c r="U188" s="23" t="n"/>
      <c r="V188" s="24">
        <f>IFERROR(O188*U188,0)</f>
        <v/>
      </c>
      <c r="W188" s="22" t="n"/>
      <c r="X188" s="22" t="n"/>
      <c r="Y188" s="25" t="n"/>
      <c r="Z188" s="26" t="n"/>
      <c r="AA188" s="26" t="n"/>
      <c r="AB188" s="24">
        <f>IFERROR(Z188-AA188,0)</f>
        <v/>
      </c>
      <c r="AC188" s="22" t="n"/>
      <c r="AD188" s="27" t="n"/>
    </row>
    <row r="18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3" t="n"/>
      <c r="U189" s="23" t="n"/>
      <c r="V189" s="24">
        <f>IFERROR(O189*U189,0)</f>
        <v/>
      </c>
      <c r="W189" s="22" t="n"/>
      <c r="X189" s="22" t="n"/>
      <c r="Y189" s="25" t="n"/>
      <c r="Z189" s="26" t="n"/>
      <c r="AA189" s="26" t="n"/>
      <c r="AB189" s="24">
        <f>IFERROR(Z189-AA189,0)</f>
        <v/>
      </c>
      <c r="AC189" s="22" t="n"/>
      <c r="AD189" s="27" t="n"/>
    </row>
    <row r="190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3" t="n"/>
      <c r="U190" s="23" t="n"/>
      <c r="V190" s="24">
        <f>IFERROR(O190*U190,0)</f>
        <v/>
      </c>
      <c r="W190" s="22" t="n"/>
      <c r="X190" s="22" t="n"/>
      <c r="Y190" s="25" t="n"/>
      <c r="Z190" s="26" t="n"/>
      <c r="AA190" s="26" t="n"/>
      <c r="AB190" s="24">
        <f>IFERROR(Z190-AA190,0)</f>
        <v/>
      </c>
      <c r="AC190" s="22" t="n"/>
      <c r="AD190" s="27" t="n"/>
    </row>
    <row r="19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3" t="n"/>
      <c r="U191" s="23" t="n"/>
      <c r="V191" s="24">
        <f>IFERROR(O191*U191,0)</f>
        <v/>
      </c>
      <c r="W191" s="22" t="n"/>
      <c r="X191" s="22" t="n"/>
      <c r="Y191" s="25" t="n"/>
      <c r="Z191" s="26" t="n"/>
      <c r="AA191" s="26" t="n"/>
      <c r="AB191" s="24">
        <f>IFERROR(Z191-AA191,0)</f>
        <v/>
      </c>
      <c r="AC191" s="22" t="n"/>
      <c r="AD191" s="27" t="n"/>
    </row>
    <row r="192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3" t="n"/>
      <c r="U192" s="23" t="n"/>
      <c r="V192" s="24">
        <f>IFERROR(O192*U192,0)</f>
        <v/>
      </c>
      <c r="W192" s="22" t="n"/>
      <c r="X192" s="22" t="n"/>
      <c r="Y192" s="25" t="n"/>
      <c r="Z192" s="26" t="n"/>
      <c r="AA192" s="26" t="n"/>
      <c r="AB192" s="24">
        <f>IFERROR(Z192-AA192,0)</f>
        <v/>
      </c>
      <c r="AC192" s="22" t="n"/>
      <c r="AD192" s="27" t="n"/>
    </row>
    <row r="193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3" t="n"/>
      <c r="U193" s="23" t="n"/>
      <c r="V193" s="24">
        <f>IFERROR(O193*U193,0)</f>
        <v/>
      </c>
      <c r="W193" s="22" t="n"/>
      <c r="X193" s="22" t="n"/>
      <c r="Y193" s="25" t="n"/>
      <c r="Z193" s="26" t="n"/>
      <c r="AA193" s="26" t="n"/>
      <c r="AB193" s="24">
        <f>IFERROR(Z193-AA193,0)</f>
        <v/>
      </c>
      <c r="AC193" s="22" t="n"/>
      <c r="AD193" s="27" t="n"/>
    </row>
    <row r="194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3" t="n"/>
      <c r="U194" s="23" t="n"/>
      <c r="V194" s="24">
        <f>IFERROR(O194*U194,0)</f>
        <v/>
      </c>
      <c r="W194" s="22" t="n"/>
      <c r="X194" s="22" t="n"/>
      <c r="Y194" s="25" t="n"/>
      <c r="Z194" s="26" t="n"/>
      <c r="AA194" s="26" t="n"/>
      <c r="AB194" s="24">
        <f>IFERROR(Z194-AA194,0)</f>
        <v/>
      </c>
      <c r="AC194" s="22" t="n"/>
      <c r="AD194" s="27" t="n"/>
    </row>
    <row r="195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3" t="n"/>
      <c r="U195" s="23" t="n"/>
      <c r="V195" s="24">
        <f>IFERROR(O195*U195,0)</f>
        <v/>
      </c>
      <c r="W195" s="22" t="n"/>
      <c r="X195" s="22" t="n"/>
      <c r="Y195" s="25" t="n"/>
      <c r="Z195" s="26" t="n"/>
      <c r="AA195" s="26" t="n"/>
      <c r="AB195" s="24">
        <f>IFERROR(Z195-AA195,0)</f>
        <v/>
      </c>
      <c r="AC195" s="22" t="n"/>
      <c r="AD195" s="27" t="n"/>
    </row>
    <row r="19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3" t="n"/>
      <c r="U196" s="23" t="n"/>
      <c r="V196" s="24">
        <f>IFERROR(O196*U196,0)</f>
        <v/>
      </c>
      <c r="W196" s="22" t="n"/>
      <c r="X196" s="22" t="n"/>
      <c r="Y196" s="25" t="n"/>
      <c r="Z196" s="26" t="n"/>
      <c r="AA196" s="26" t="n"/>
      <c r="AB196" s="24">
        <f>IFERROR(Z196-AA196,0)</f>
        <v/>
      </c>
      <c r="AC196" s="22" t="n"/>
      <c r="AD196" s="27" t="n"/>
    </row>
    <row r="197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3" t="n"/>
      <c r="U197" s="23" t="n"/>
      <c r="V197" s="24">
        <f>IFERROR(O197*U197,0)</f>
        <v/>
      </c>
      <c r="W197" s="22" t="n"/>
      <c r="X197" s="22" t="n"/>
      <c r="Y197" s="25" t="n"/>
      <c r="Z197" s="26" t="n"/>
      <c r="AA197" s="26" t="n"/>
      <c r="AB197" s="24">
        <f>IFERROR(Z197-AA197,0)</f>
        <v/>
      </c>
      <c r="AC197" s="22" t="n"/>
      <c r="AD197" s="27" t="n"/>
    </row>
    <row r="198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3" t="n"/>
      <c r="U198" s="23" t="n"/>
      <c r="V198" s="24">
        <f>IFERROR(O198*U198,0)</f>
        <v/>
      </c>
      <c r="W198" s="22" t="n"/>
      <c r="X198" s="22" t="n"/>
      <c r="Y198" s="25" t="n"/>
      <c r="Z198" s="26" t="n"/>
      <c r="AA198" s="26" t="n"/>
      <c r="AB198" s="24">
        <f>IFERROR(Z198-AA198,0)</f>
        <v/>
      </c>
      <c r="AC198" s="22" t="n"/>
      <c r="AD198" s="27" t="n"/>
    </row>
    <row r="19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3" t="n"/>
      <c r="U199" s="23" t="n"/>
      <c r="V199" s="24">
        <f>IFERROR(O199*U199,0)</f>
        <v/>
      </c>
      <c r="W199" s="22" t="n"/>
      <c r="X199" s="22" t="n"/>
      <c r="Y199" s="25" t="n"/>
      <c r="Z199" s="26" t="n"/>
      <c r="AA199" s="26" t="n"/>
      <c r="AB199" s="24">
        <f>IFERROR(Z199-AA199,0)</f>
        <v/>
      </c>
      <c r="AC199" s="22" t="n"/>
      <c r="AD199" s="27" t="n"/>
    </row>
    <row r="200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3" t="n"/>
      <c r="U200" s="23" t="n"/>
      <c r="V200" s="24">
        <f>IFERROR(O200*U200,0)</f>
        <v/>
      </c>
      <c r="W200" s="22" t="n"/>
      <c r="X200" s="22" t="n"/>
      <c r="Y200" s="25" t="n"/>
      <c r="Z200" s="26" t="n"/>
      <c r="AA200" s="26" t="n"/>
      <c r="AB200" s="24">
        <f>IFERROR(Z200-AA200,0)</f>
        <v/>
      </c>
      <c r="AC200" s="22" t="n"/>
      <c r="AD200" s="27" t="n"/>
    </row>
    <row r="20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3" t="n"/>
      <c r="U201" s="23" t="n"/>
      <c r="V201" s="24">
        <f>IFERROR(O201*U201,0)</f>
        <v/>
      </c>
      <c r="W201" s="22" t="n"/>
      <c r="X201" s="22" t="n"/>
      <c r="Y201" s="25" t="n"/>
      <c r="Z201" s="26" t="n"/>
      <c r="AA201" s="26" t="n"/>
      <c r="AB201" s="24">
        <f>IFERROR(Z201-AA201,0)</f>
        <v/>
      </c>
      <c r="AC201" s="22" t="n"/>
      <c r="AD201" s="27" t="n"/>
    </row>
    <row r="202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3" t="n"/>
      <c r="U202" s="23" t="n"/>
      <c r="V202" s="24">
        <f>IFERROR(O202*U202,0)</f>
        <v/>
      </c>
      <c r="W202" s="22" t="n"/>
      <c r="X202" s="22" t="n"/>
      <c r="Y202" s="25" t="n"/>
      <c r="Z202" s="26" t="n"/>
      <c r="AA202" s="26" t="n"/>
      <c r="AB202" s="24">
        <f>IFERROR(Z202-AA202,0)</f>
        <v/>
      </c>
      <c r="AC202" s="22" t="n"/>
      <c r="AD202" s="27" t="n"/>
    </row>
    <row r="203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3" t="n"/>
      <c r="U203" s="23" t="n"/>
      <c r="V203" s="24">
        <f>IFERROR(O203*U203,0)</f>
        <v/>
      </c>
      <c r="W203" s="22" t="n"/>
      <c r="X203" s="22" t="n"/>
      <c r="Y203" s="25" t="n"/>
      <c r="Z203" s="26" t="n"/>
      <c r="AA203" s="26" t="n"/>
      <c r="AB203" s="24">
        <f>IFERROR(Z203-AA203,0)</f>
        <v/>
      </c>
      <c r="AC203" s="22" t="n"/>
      <c r="AD203" s="27" t="n"/>
    </row>
    <row r="204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3" t="n"/>
      <c r="U204" s="23" t="n"/>
      <c r="V204" s="24">
        <f>IFERROR(O204*U204,0)</f>
        <v/>
      </c>
      <c r="W204" s="22" t="n"/>
      <c r="X204" s="22" t="n"/>
      <c r="Y204" s="25" t="n"/>
      <c r="Z204" s="26" t="n"/>
      <c r="AA204" s="26" t="n"/>
      <c r="AB204" s="24">
        <f>IFERROR(Z204-AA204,0)</f>
        <v/>
      </c>
      <c r="AC204" s="22" t="n"/>
      <c r="AD204" s="27" t="n"/>
    </row>
    <row r="205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3" t="n"/>
      <c r="U205" s="23" t="n"/>
      <c r="V205" s="24">
        <f>IFERROR(O205*U205,0)</f>
        <v/>
      </c>
      <c r="W205" s="22" t="n"/>
      <c r="X205" s="22" t="n"/>
      <c r="Y205" s="25" t="n"/>
      <c r="Z205" s="26" t="n"/>
      <c r="AA205" s="26" t="n"/>
      <c r="AB205" s="24">
        <f>IFERROR(Z205-AA205,0)</f>
        <v/>
      </c>
      <c r="AC205" s="22" t="n"/>
      <c r="AD205" s="27" t="n"/>
    </row>
    <row r="20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3" t="n"/>
      <c r="U206" s="23" t="n"/>
      <c r="V206" s="24">
        <f>IFERROR(O206*U206,0)</f>
        <v/>
      </c>
      <c r="W206" s="22" t="n"/>
      <c r="X206" s="22" t="n"/>
      <c r="Y206" s="25" t="n"/>
      <c r="Z206" s="26" t="n"/>
      <c r="AA206" s="26" t="n"/>
      <c r="AB206" s="24">
        <f>IFERROR(Z206-AA206,0)</f>
        <v/>
      </c>
      <c r="AC206" s="22" t="n"/>
      <c r="AD206" s="27" t="n"/>
    </row>
    <row r="207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3" t="n"/>
      <c r="U207" s="23" t="n"/>
      <c r="V207" s="24">
        <f>IFERROR(O207*U207,0)</f>
        <v/>
      </c>
      <c r="W207" s="22" t="n"/>
      <c r="X207" s="22" t="n"/>
      <c r="Y207" s="25" t="n"/>
      <c r="Z207" s="26" t="n"/>
      <c r="AA207" s="26" t="n"/>
      <c r="AB207" s="24">
        <f>IFERROR(Z207-AA207,0)</f>
        <v/>
      </c>
      <c r="AC207" s="22" t="n"/>
      <c r="AD207" s="27" t="n"/>
    </row>
    <row r="208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3" t="n"/>
      <c r="U208" s="23" t="n"/>
      <c r="V208" s="24">
        <f>IFERROR(O208*U208,0)</f>
        <v/>
      </c>
      <c r="W208" s="22" t="n"/>
      <c r="X208" s="22" t="n"/>
      <c r="Y208" s="25" t="n"/>
      <c r="Z208" s="26" t="n"/>
      <c r="AA208" s="26" t="n"/>
      <c r="AB208" s="24">
        <f>IFERROR(Z208-AA208,0)</f>
        <v/>
      </c>
      <c r="AC208" s="22" t="n"/>
      <c r="AD208" s="27" t="n"/>
    </row>
    <row r="20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3" t="n"/>
      <c r="U209" s="23" t="n"/>
      <c r="V209" s="24">
        <f>IFERROR(O209*U209,0)</f>
        <v/>
      </c>
      <c r="W209" s="22" t="n"/>
      <c r="X209" s="22" t="n"/>
      <c r="Y209" s="25" t="n"/>
      <c r="Z209" s="26" t="n"/>
      <c r="AA209" s="26" t="n"/>
      <c r="AB209" s="24">
        <f>IFERROR(Z209-AA209,0)</f>
        <v/>
      </c>
      <c r="AC209" s="22" t="n"/>
      <c r="AD209" s="27" t="n"/>
    </row>
    <row r="210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3" t="n"/>
      <c r="U210" s="23" t="n"/>
      <c r="V210" s="24">
        <f>IFERROR(O210*U210,0)</f>
        <v/>
      </c>
      <c r="W210" s="22" t="n"/>
      <c r="X210" s="22" t="n"/>
      <c r="Y210" s="25" t="n"/>
      <c r="Z210" s="26" t="n"/>
      <c r="AA210" s="26" t="n"/>
      <c r="AB210" s="24">
        <f>IFERROR(Z210-AA210,0)</f>
        <v/>
      </c>
      <c r="AC210" s="22" t="n"/>
      <c r="AD210" s="27" t="n"/>
    </row>
    <row r="21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3" t="n"/>
      <c r="U211" s="23" t="n"/>
      <c r="V211" s="24">
        <f>IFERROR(O211*U211,0)</f>
        <v/>
      </c>
      <c r="W211" s="22" t="n"/>
      <c r="X211" s="22" t="n"/>
      <c r="Y211" s="25" t="n"/>
      <c r="Z211" s="26" t="n"/>
      <c r="AA211" s="26" t="n"/>
      <c r="AB211" s="24">
        <f>IFERROR(Z211-AA211,0)</f>
        <v/>
      </c>
      <c r="AC211" s="22" t="n"/>
      <c r="AD211" s="27" t="n"/>
    </row>
    <row r="212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3" t="n"/>
      <c r="U212" s="23" t="n"/>
      <c r="V212" s="24">
        <f>IFERROR(O212*U212,0)</f>
        <v/>
      </c>
      <c r="W212" s="22" t="n"/>
      <c r="X212" s="22" t="n"/>
      <c r="Y212" s="25" t="n"/>
      <c r="Z212" s="26" t="n"/>
      <c r="AA212" s="26" t="n"/>
      <c r="AB212" s="24">
        <f>IFERROR(Z212-AA212,0)</f>
        <v/>
      </c>
      <c r="AC212" s="22" t="n"/>
      <c r="AD212" s="27" t="n"/>
    </row>
    <row r="213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3" t="n"/>
      <c r="U213" s="23" t="n"/>
      <c r="V213" s="24">
        <f>IFERROR(O213*U213,0)</f>
        <v/>
      </c>
      <c r="W213" s="22" t="n"/>
      <c r="X213" s="22" t="n"/>
      <c r="Y213" s="25" t="n"/>
      <c r="Z213" s="26" t="n"/>
      <c r="AA213" s="26" t="n"/>
      <c r="AB213" s="24">
        <f>IFERROR(Z213-AA213,0)</f>
        <v/>
      </c>
      <c r="AC213" s="22" t="n"/>
      <c r="AD213" s="27" t="n"/>
    </row>
    <row r="214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3" t="n"/>
      <c r="U214" s="23" t="n"/>
      <c r="V214" s="24">
        <f>IFERROR(O214*U214,0)</f>
        <v/>
      </c>
      <c r="W214" s="22" t="n"/>
      <c r="X214" s="22" t="n"/>
      <c r="Y214" s="25" t="n"/>
      <c r="Z214" s="26" t="n"/>
      <c r="AA214" s="26" t="n"/>
      <c r="AB214" s="24">
        <f>IFERROR(Z214-AA214,0)</f>
        <v/>
      </c>
      <c r="AC214" s="22" t="n"/>
      <c r="AD214" s="27" t="n"/>
    </row>
    <row r="215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3" t="n"/>
      <c r="U215" s="23" t="n"/>
      <c r="V215" s="24">
        <f>IFERROR(O215*U215,0)</f>
        <v/>
      </c>
      <c r="W215" s="22" t="n"/>
      <c r="X215" s="22" t="n"/>
      <c r="Y215" s="25" t="n"/>
      <c r="Z215" s="26" t="n"/>
      <c r="AA215" s="26" t="n"/>
      <c r="AB215" s="24">
        <f>IFERROR(Z215-AA215,0)</f>
        <v/>
      </c>
      <c r="AC215" s="22" t="n"/>
      <c r="AD215" s="27" t="n"/>
    </row>
    <row r="21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3" t="n"/>
      <c r="U216" s="23" t="n"/>
      <c r="V216" s="24">
        <f>IFERROR(O216*U216,0)</f>
        <v/>
      </c>
      <c r="W216" s="22" t="n"/>
      <c r="X216" s="22" t="n"/>
      <c r="Y216" s="25" t="n"/>
      <c r="Z216" s="26" t="n"/>
      <c r="AA216" s="26" t="n"/>
      <c r="AB216" s="24">
        <f>IFERROR(Z216-AA216,0)</f>
        <v/>
      </c>
      <c r="AC216" s="22" t="n"/>
      <c r="AD216" s="27" t="n"/>
    </row>
    <row r="217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3" t="n"/>
      <c r="U217" s="23" t="n"/>
      <c r="V217" s="24">
        <f>IFERROR(O217*U217,0)</f>
        <v/>
      </c>
      <c r="W217" s="22" t="n"/>
      <c r="X217" s="22" t="n"/>
      <c r="Y217" s="25" t="n"/>
      <c r="Z217" s="26" t="n"/>
      <c r="AA217" s="26" t="n"/>
      <c r="AB217" s="24">
        <f>IFERROR(Z217-AA217,0)</f>
        <v/>
      </c>
      <c r="AC217" s="22" t="n"/>
      <c r="AD217" s="27" t="n"/>
    </row>
    <row r="218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3" t="n"/>
      <c r="U218" s="23" t="n"/>
      <c r="V218" s="24">
        <f>IFERROR(O218*U218,0)</f>
        <v/>
      </c>
      <c r="W218" s="22" t="n"/>
      <c r="X218" s="22" t="n"/>
      <c r="Y218" s="25" t="n"/>
      <c r="Z218" s="26" t="n"/>
      <c r="AA218" s="26" t="n"/>
      <c r="AB218" s="24">
        <f>IFERROR(Z218-AA218,0)</f>
        <v/>
      </c>
      <c r="AC218" s="22" t="n"/>
      <c r="AD218" s="27" t="n"/>
    </row>
    <row r="21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3" t="n"/>
      <c r="U219" s="23" t="n"/>
      <c r="V219" s="24">
        <f>IFERROR(O219*U219,0)</f>
        <v/>
      </c>
      <c r="W219" s="22" t="n"/>
      <c r="X219" s="22" t="n"/>
      <c r="Y219" s="25" t="n"/>
      <c r="Z219" s="26" t="n"/>
      <c r="AA219" s="26" t="n"/>
      <c r="AB219" s="24">
        <f>IFERROR(Z219-AA219,0)</f>
        <v/>
      </c>
      <c r="AC219" s="22" t="n"/>
      <c r="AD219" s="27" t="n"/>
    </row>
    <row r="220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3" t="n"/>
      <c r="U220" s="23" t="n"/>
      <c r="V220" s="24">
        <f>IFERROR(O220*U220,0)</f>
        <v/>
      </c>
      <c r="W220" s="22" t="n"/>
      <c r="X220" s="22" t="n"/>
      <c r="Y220" s="25" t="n"/>
      <c r="Z220" s="26" t="n"/>
      <c r="AA220" s="26" t="n"/>
      <c r="AB220" s="24">
        <f>IFERROR(Z220-AA220,0)</f>
        <v/>
      </c>
      <c r="AC220" s="22" t="n"/>
      <c r="AD220" s="27" t="n"/>
    </row>
    <row r="221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3" t="n"/>
      <c r="U221" s="23" t="n"/>
      <c r="V221" s="24">
        <f>IFERROR(O221*U221,0)</f>
        <v/>
      </c>
      <c r="W221" s="22" t="n"/>
      <c r="X221" s="22" t="n"/>
      <c r="Y221" s="25" t="n"/>
      <c r="Z221" s="26" t="n"/>
      <c r="AA221" s="26" t="n"/>
      <c r="AB221" s="24">
        <f>IFERROR(Z221-AA221,0)</f>
        <v/>
      </c>
      <c r="AC221" s="22" t="n"/>
      <c r="AD221" s="27" t="n"/>
    </row>
    <row r="222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3" t="n"/>
      <c r="U222" s="23" t="n"/>
      <c r="V222" s="24">
        <f>IFERROR(O222*U222,0)</f>
        <v/>
      </c>
      <c r="W222" s="22" t="n"/>
      <c r="X222" s="22" t="n"/>
      <c r="Y222" s="25" t="n"/>
      <c r="Z222" s="26" t="n"/>
      <c r="AA222" s="26" t="n"/>
      <c r="AB222" s="24">
        <f>IFERROR(Z222-AA222,0)</f>
        <v/>
      </c>
      <c r="AC222" s="22" t="n"/>
      <c r="AD222" s="27" t="n"/>
    </row>
    <row r="223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3" t="n"/>
      <c r="U223" s="23" t="n"/>
      <c r="V223" s="24">
        <f>IFERROR(O223*U223,0)</f>
        <v/>
      </c>
      <c r="W223" s="22" t="n"/>
      <c r="X223" s="22" t="n"/>
      <c r="Y223" s="25" t="n"/>
      <c r="Z223" s="26" t="n"/>
      <c r="AA223" s="26" t="n"/>
      <c r="AB223" s="24">
        <f>IFERROR(Z223-AA223,0)</f>
        <v/>
      </c>
      <c r="AC223" s="22" t="n"/>
      <c r="AD223" s="27" t="n"/>
    </row>
    <row r="224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3" t="n"/>
      <c r="U224" s="23" t="n"/>
      <c r="V224" s="24">
        <f>IFERROR(O224*U224,0)</f>
        <v/>
      </c>
      <c r="W224" s="22" t="n"/>
      <c r="X224" s="22" t="n"/>
      <c r="Y224" s="25" t="n"/>
      <c r="Z224" s="26" t="n"/>
      <c r="AA224" s="26" t="n"/>
      <c r="AB224" s="24">
        <f>IFERROR(Z224-AA224,0)</f>
        <v/>
      </c>
      <c r="AC224" s="22" t="n"/>
      <c r="AD224" s="27" t="n"/>
    </row>
    <row r="225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3" t="n"/>
      <c r="U225" s="23" t="n"/>
      <c r="V225" s="24">
        <f>IFERROR(O225*U225,0)</f>
        <v/>
      </c>
      <c r="W225" s="22" t="n"/>
      <c r="X225" s="22" t="n"/>
      <c r="Y225" s="25" t="n"/>
      <c r="Z225" s="26" t="n"/>
      <c r="AA225" s="26" t="n"/>
      <c r="AB225" s="24">
        <f>IFERROR(Z225-AA225,0)</f>
        <v/>
      </c>
      <c r="AC225" s="22" t="n"/>
      <c r="AD225" s="27" t="n"/>
    </row>
    <row r="22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3" t="n"/>
      <c r="U226" s="23" t="n"/>
      <c r="V226" s="24">
        <f>IFERROR(O226*U226,0)</f>
        <v/>
      </c>
      <c r="W226" s="22" t="n"/>
      <c r="X226" s="22" t="n"/>
      <c r="Y226" s="25" t="n"/>
      <c r="Z226" s="26" t="n"/>
      <c r="AA226" s="26" t="n"/>
      <c r="AB226" s="24">
        <f>IFERROR(Z226-AA226,0)</f>
        <v/>
      </c>
      <c r="AC226" s="22" t="n"/>
      <c r="AD226" s="27" t="n"/>
    </row>
    <row r="227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3" t="n"/>
      <c r="U227" s="23" t="n"/>
      <c r="V227" s="24">
        <f>IFERROR(O227*U227,0)</f>
        <v/>
      </c>
      <c r="W227" s="22" t="n"/>
      <c r="X227" s="22" t="n"/>
      <c r="Y227" s="25" t="n"/>
      <c r="Z227" s="26" t="n"/>
      <c r="AA227" s="26" t="n"/>
      <c r="AB227" s="24">
        <f>IFERROR(Z227-AA227,0)</f>
        <v/>
      </c>
      <c r="AC227" s="22" t="n"/>
      <c r="AD227" s="27" t="n"/>
    </row>
    <row r="228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3" t="n"/>
      <c r="U228" s="23" t="n"/>
      <c r="V228" s="24">
        <f>IFERROR(O228*U228,0)</f>
        <v/>
      </c>
      <c r="W228" s="22" t="n"/>
      <c r="X228" s="22" t="n"/>
      <c r="Y228" s="25" t="n"/>
      <c r="Z228" s="26" t="n"/>
      <c r="AA228" s="26" t="n"/>
      <c r="AB228" s="24">
        <f>IFERROR(Z228-AA228,0)</f>
        <v/>
      </c>
      <c r="AC228" s="22" t="n"/>
      <c r="AD228" s="27" t="n"/>
    </row>
    <row r="229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3" t="n"/>
      <c r="U229" s="23" t="n"/>
      <c r="V229" s="24">
        <f>IFERROR(O229*U229,0)</f>
        <v/>
      </c>
      <c r="W229" s="22" t="n"/>
      <c r="X229" s="22" t="n"/>
      <c r="Y229" s="25" t="n"/>
      <c r="Z229" s="26" t="n"/>
      <c r="AA229" s="26" t="n"/>
      <c r="AB229" s="24">
        <f>IFERROR(Z229-AA229,0)</f>
        <v/>
      </c>
      <c r="AC229" s="22" t="n"/>
      <c r="AD229" s="27" t="n"/>
    </row>
    <row r="230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3" t="n"/>
      <c r="U230" s="23" t="n"/>
      <c r="V230" s="24">
        <f>IFERROR(O230*U230,0)</f>
        <v/>
      </c>
      <c r="W230" s="22" t="n"/>
      <c r="X230" s="22" t="n"/>
      <c r="Y230" s="25" t="n"/>
      <c r="Z230" s="26" t="n"/>
      <c r="AA230" s="26" t="n"/>
      <c r="AB230" s="24">
        <f>IFERROR(Z230-AA230,0)</f>
        <v/>
      </c>
      <c r="AC230" s="22" t="n"/>
      <c r="AD230" s="27" t="n"/>
    </row>
    <row r="231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3" t="n"/>
      <c r="U231" s="23" t="n"/>
      <c r="V231" s="24">
        <f>IFERROR(O231*U231,0)</f>
        <v/>
      </c>
      <c r="W231" s="22" t="n"/>
      <c r="X231" s="22" t="n"/>
      <c r="Y231" s="25" t="n"/>
      <c r="Z231" s="26" t="n"/>
      <c r="AA231" s="26" t="n"/>
      <c r="AB231" s="24">
        <f>IFERROR(Z231-AA231,0)</f>
        <v/>
      </c>
      <c r="AC231" s="22" t="n"/>
      <c r="AD231" s="27" t="n"/>
    </row>
    <row r="232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3" t="n"/>
      <c r="U232" s="23" t="n"/>
      <c r="V232" s="24">
        <f>IFERROR(O232*U232,0)</f>
        <v/>
      </c>
      <c r="W232" s="22" t="n"/>
      <c r="X232" s="22" t="n"/>
      <c r="Y232" s="25" t="n"/>
      <c r="Z232" s="26" t="n"/>
      <c r="AA232" s="26" t="n"/>
      <c r="AB232" s="24">
        <f>IFERROR(Z232-AA232,0)</f>
        <v/>
      </c>
      <c r="AC232" s="22" t="n"/>
      <c r="AD232" s="27" t="n"/>
    </row>
    <row r="233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3" t="n"/>
      <c r="U233" s="23" t="n"/>
      <c r="V233" s="24">
        <f>IFERROR(O233*U233,0)</f>
        <v/>
      </c>
      <c r="W233" s="22" t="n"/>
      <c r="X233" s="22" t="n"/>
      <c r="Y233" s="25" t="n"/>
      <c r="Z233" s="26" t="n"/>
      <c r="AA233" s="26" t="n"/>
      <c r="AB233" s="24">
        <f>IFERROR(Z233-AA233,0)</f>
        <v/>
      </c>
      <c r="AC233" s="22" t="n"/>
      <c r="AD233" s="27" t="n"/>
    </row>
    <row r="234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3" t="n"/>
      <c r="U234" s="23" t="n"/>
      <c r="V234" s="24">
        <f>IFERROR(O234*U234,0)</f>
        <v/>
      </c>
      <c r="W234" s="22" t="n"/>
      <c r="X234" s="22" t="n"/>
      <c r="Y234" s="25" t="n"/>
      <c r="Z234" s="26" t="n"/>
      <c r="AA234" s="26" t="n"/>
      <c r="AB234" s="24">
        <f>IFERROR(Z234-AA234,0)</f>
        <v/>
      </c>
      <c r="AC234" s="22" t="n"/>
      <c r="AD234" s="27" t="n"/>
    </row>
    <row r="235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3" t="n"/>
      <c r="U235" s="23" t="n"/>
      <c r="V235" s="24">
        <f>IFERROR(O235*U235,0)</f>
        <v/>
      </c>
      <c r="W235" s="22" t="n"/>
      <c r="X235" s="22" t="n"/>
      <c r="Y235" s="25" t="n"/>
      <c r="Z235" s="26" t="n"/>
      <c r="AA235" s="26" t="n"/>
      <c r="AB235" s="24">
        <f>IFERROR(Z235-AA235,0)</f>
        <v/>
      </c>
      <c r="AC235" s="22" t="n"/>
      <c r="AD235" s="27" t="n"/>
    </row>
    <row r="23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3" t="n"/>
      <c r="U236" s="23" t="n"/>
      <c r="V236" s="24">
        <f>IFERROR(O236*U236,0)</f>
        <v/>
      </c>
      <c r="W236" s="22" t="n"/>
      <c r="X236" s="22" t="n"/>
      <c r="Y236" s="25" t="n"/>
      <c r="Z236" s="26" t="n"/>
      <c r="AA236" s="26" t="n"/>
      <c r="AB236" s="24">
        <f>IFERROR(Z236-AA236,0)</f>
        <v/>
      </c>
      <c r="AC236" s="22" t="n"/>
      <c r="AD236" s="27" t="n"/>
    </row>
    <row r="237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3" t="n"/>
      <c r="U237" s="23" t="n"/>
      <c r="V237" s="24">
        <f>IFERROR(O237*U237,0)</f>
        <v/>
      </c>
      <c r="W237" s="22" t="n"/>
      <c r="X237" s="22" t="n"/>
      <c r="Y237" s="25" t="n"/>
      <c r="Z237" s="26" t="n"/>
      <c r="AA237" s="26" t="n"/>
      <c r="AB237" s="24">
        <f>IFERROR(Z237-AA237,0)</f>
        <v/>
      </c>
      <c r="AC237" s="22" t="n"/>
      <c r="AD237" s="27" t="n"/>
    </row>
    <row r="238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3" t="n"/>
      <c r="U238" s="23" t="n"/>
      <c r="V238" s="24">
        <f>IFERROR(O238*U238,0)</f>
        <v/>
      </c>
      <c r="W238" s="22" t="n"/>
      <c r="X238" s="22" t="n"/>
      <c r="Y238" s="25" t="n"/>
      <c r="Z238" s="26" t="n"/>
      <c r="AA238" s="26" t="n"/>
      <c r="AB238" s="24">
        <f>IFERROR(Z238-AA238,0)</f>
        <v/>
      </c>
      <c r="AC238" s="22" t="n"/>
      <c r="AD238" s="27" t="n"/>
    </row>
    <row r="239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3" t="n"/>
      <c r="U239" s="23" t="n"/>
      <c r="V239" s="24">
        <f>IFERROR(O239*U239,0)</f>
        <v/>
      </c>
      <c r="W239" s="22" t="n"/>
      <c r="X239" s="22" t="n"/>
      <c r="Y239" s="25" t="n"/>
      <c r="Z239" s="26" t="n"/>
      <c r="AA239" s="26" t="n"/>
      <c r="AB239" s="24">
        <f>IFERROR(Z239-AA239,0)</f>
        <v/>
      </c>
      <c r="AC239" s="22" t="n"/>
      <c r="AD239" s="27" t="n"/>
    </row>
    <row r="240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3" t="n"/>
      <c r="U240" s="23" t="n"/>
      <c r="V240" s="24">
        <f>IFERROR(O240*U240,0)</f>
        <v/>
      </c>
      <c r="W240" s="22" t="n"/>
      <c r="X240" s="22" t="n"/>
      <c r="Y240" s="25" t="n"/>
      <c r="Z240" s="26" t="n"/>
      <c r="AA240" s="26" t="n"/>
      <c r="AB240" s="24">
        <f>IFERROR(Z240-AA240,0)</f>
        <v/>
      </c>
      <c r="AC240" s="22" t="n"/>
      <c r="AD240" s="27" t="n"/>
    </row>
    <row r="241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3" t="n"/>
      <c r="U241" s="23" t="n"/>
      <c r="V241" s="24">
        <f>IFERROR(O241*U241,0)</f>
        <v/>
      </c>
      <c r="W241" s="22" t="n"/>
      <c r="X241" s="22" t="n"/>
      <c r="Y241" s="25" t="n"/>
      <c r="Z241" s="26" t="n"/>
      <c r="AA241" s="26" t="n"/>
      <c r="AB241" s="24">
        <f>IFERROR(Z241-AA241,0)</f>
        <v/>
      </c>
      <c r="AC241" s="22" t="n"/>
      <c r="AD241" s="27" t="n"/>
    </row>
    <row r="242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3" t="n"/>
      <c r="U242" s="23" t="n"/>
      <c r="V242" s="24">
        <f>IFERROR(O242*U242,0)</f>
        <v/>
      </c>
      <c r="W242" s="22" t="n"/>
      <c r="X242" s="22" t="n"/>
      <c r="Y242" s="25" t="n"/>
      <c r="Z242" s="26" t="n"/>
      <c r="AA242" s="26" t="n"/>
      <c r="AB242" s="24">
        <f>IFERROR(Z242-AA242,0)</f>
        <v/>
      </c>
      <c r="AC242" s="22" t="n"/>
      <c r="AD242" s="27" t="n"/>
    </row>
    <row r="243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3" t="n"/>
      <c r="U243" s="23" t="n"/>
      <c r="V243" s="24">
        <f>IFERROR(O243*U243,0)</f>
        <v/>
      </c>
      <c r="W243" s="22" t="n"/>
      <c r="X243" s="22" t="n"/>
      <c r="Y243" s="25" t="n"/>
      <c r="Z243" s="26" t="n"/>
      <c r="AA243" s="26" t="n"/>
      <c r="AB243" s="24">
        <f>IFERROR(Z243-AA243,0)</f>
        <v/>
      </c>
      <c r="AC243" s="22" t="n"/>
      <c r="AD243" s="27" t="n"/>
    </row>
    <row r="244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3" t="n"/>
      <c r="U244" s="23" t="n"/>
      <c r="V244" s="24">
        <f>IFERROR(O244*U244,0)</f>
        <v/>
      </c>
      <c r="W244" s="22" t="n"/>
      <c r="X244" s="22" t="n"/>
      <c r="Y244" s="25" t="n"/>
      <c r="Z244" s="26" t="n"/>
      <c r="AA244" s="26" t="n"/>
      <c r="AB244" s="24">
        <f>IFERROR(Z244-AA244,0)</f>
        <v/>
      </c>
      <c r="AC244" s="22" t="n"/>
      <c r="AD244" s="27" t="n"/>
    </row>
    <row r="245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3" t="n"/>
      <c r="U245" s="23" t="n"/>
      <c r="V245" s="24">
        <f>IFERROR(O245*U245,0)</f>
        <v/>
      </c>
      <c r="W245" s="22" t="n"/>
      <c r="X245" s="22" t="n"/>
      <c r="Y245" s="25" t="n"/>
      <c r="Z245" s="26" t="n"/>
      <c r="AA245" s="26" t="n"/>
      <c r="AB245" s="24">
        <f>IFERROR(Z245-AA245,0)</f>
        <v/>
      </c>
      <c r="AC245" s="22" t="n"/>
      <c r="AD245" s="27" t="n"/>
    </row>
    <row r="24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3" t="n"/>
      <c r="U246" s="23" t="n"/>
      <c r="V246" s="24">
        <f>IFERROR(O246*U246,0)</f>
        <v/>
      </c>
      <c r="W246" s="22" t="n"/>
      <c r="X246" s="22" t="n"/>
      <c r="Y246" s="25" t="n"/>
      <c r="Z246" s="26" t="n"/>
      <c r="AA246" s="26" t="n"/>
      <c r="AB246" s="24">
        <f>IFERROR(Z246-AA246,0)</f>
        <v/>
      </c>
      <c r="AC246" s="22" t="n"/>
      <c r="AD246" s="27" t="n"/>
    </row>
    <row r="247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3" t="n"/>
      <c r="U247" s="23" t="n"/>
      <c r="V247" s="24">
        <f>IFERROR(O247*U247,0)</f>
        <v/>
      </c>
      <c r="W247" s="22" t="n"/>
      <c r="X247" s="22" t="n"/>
      <c r="Y247" s="25" t="n"/>
      <c r="Z247" s="26" t="n"/>
      <c r="AA247" s="26" t="n"/>
      <c r="AB247" s="24">
        <f>IFERROR(Z247-AA247,0)</f>
        <v/>
      </c>
      <c r="AC247" s="22" t="n"/>
      <c r="AD247" s="27" t="n"/>
    </row>
    <row r="248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3" t="n"/>
      <c r="U248" s="23" t="n"/>
      <c r="V248" s="24">
        <f>IFERROR(O248*U248,0)</f>
        <v/>
      </c>
      <c r="W248" s="22" t="n"/>
      <c r="X248" s="22" t="n"/>
      <c r="Y248" s="25" t="n"/>
      <c r="Z248" s="26" t="n"/>
      <c r="AA248" s="26" t="n"/>
      <c r="AB248" s="24">
        <f>IFERROR(Z248-AA248,0)</f>
        <v/>
      </c>
      <c r="AC248" s="22" t="n"/>
      <c r="AD248" s="27" t="n"/>
    </row>
    <row r="249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3" t="n"/>
      <c r="U249" s="23" t="n"/>
      <c r="V249" s="24">
        <f>IFERROR(O249*U249,0)</f>
        <v/>
      </c>
      <c r="W249" s="22" t="n"/>
      <c r="X249" s="22" t="n"/>
      <c r="Y249" s="25" t="n"/>
      <c r="Z249" s="26" t="n"/>
      <c r="AA249" s="26" t="n"/>
      <c r="AB249" s="24">
        <f>IFERROR(Z249-AA249,0)</f>
        <v/>
      </c>
      <c r="AC249" s="22" t="n"/>
      <c r="AD249" s="27" t="n"/>
    </row>
    <row r="250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3" t="n"/>
      <c r="U250" s="23" t="n"/>
      <c r="V250" s="24">
        <f>IFERROR(O250*U250,0)</f>
        <v/>
      </c>
      <c r="W250" s="22" t="n"/>
      <c r="X250" s="22" t="n"/>
      <c r="Y250" s="25" t="n"/>
      <c r="Z250" s="26" t="n"/>
      <c r="AA250" s="26" t="n"/>
      <c r="AB250" s="24">
        <f>IFERROR(Z250-AA250,0)</f>
        <v/>
      </c>
      <c r="AC250" s="22" t="n"/>
      <c r="AD250" s="27" t="n"/>
    </row>
    <row r="25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3" t="n"/>
      <c r="U251" s="23" t="n"/>
      <c r="V251" s="24">
        <f>IFERROR(O251*U251,0)</f>
        <v/>
      </c>
      <c r="W251" s="22" t="n"/>
      <c r="X251" s="22" t="n"/>
      <c r="Y251" s="25" t="n"/>
      <c r="Z251" s="26" t="n"/>
      <c r="AA251" s="26" t="n"/>
      <c r="AB251" s="24">
        <f>IFERROR(Z251-AA251,0)</f>
        <v/>
      </c>
      <c r="AC251" s="22" t="n"/>
      <c r="AD251" s="27" t="n"/>
    </row>
    <row r="252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3" t="n"/>
      <c r="U252" s="23" t="n"/>
      <c r="V252" s="24">
        <f>IFERROR(O252*U252,0)</f>
        <v/>
      </c>
      <c r="W252" s="22" t="n"/>
      <c r="X252" s="22" t="n"/>
      <c r="Y252" s="25" t="n"/>
      <c r="Z252" s="26" t="n"/>
      <c r="AA252" s="26" t="n"/>
      <c r="AB252" s="24">
        <f>IFERROR(Z252-AA252,0)</f>
        <v/>
      </c>
      <c r="AC252" s="22" t="n"/>
      <c r="AD252" s="27" t="n"/>
    </row>
    <row r="253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3" t="n"/>
      <c r="U253" s="23" t="n"/>
      <c r="V253" s="24">
        <f>IFERROR(O253*U253,0)</f>
        <v/>
      </c>
      <c r="W253" s="22" t="n"/>
      <c r="X253" s="22" t="n"/>
      <c r="Y253" s="25" t="n"/>
      <c r="Z253" s="26" t="n"/>
      <c r="AA253" s="26" t="n"/>
      <c r="AB253" s="24">
        <f>IFERROR(Z253-AA253,0)</f>
        <v/>
      </c>
      <c r="AC253" s="22" t="n"/>
      <c r="AD253" s="27" t="n"/>
    </row>
    <row r="254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3" t="n"/>
      <c r="U254" s="23" t="n"/>
      <c r="V254" s="24">
        <f>IFERROR(O254*U254,0)</f>
        <v/>
      </c>
      <c r="W254" s="22" t="n"/>
      <c r="X254" s="22" t="n"/>
      <c r="Y254" s="25" t="n"/>
      <c r="Z254" s="26" t="n"/>
      <c r="AA254" s="26" t="n"/>
      <c r="AB254" s="24">
        <f>IFERROR(Z254-AA254,0)</f>
        <v/>
      </c>
      <c r="AC254" s="22" t="n"/>
      <c r="AD254" s="27" t="n"/>
    </row>
    <row r="255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3" t="n"/>
      <c r="U255" s="23" t="n"/>
      <c r="V255" s="24">
        <f>IFERROR(O255*U255,0)</f>
        <v/>
      </c>
      <c r="W255" s="22" t="n"/>
      <c r="X255" s="22" t="n"/>
      <c r="Y255" s="25" t="n"/>
      <c r="Z255" s="26" t="n"/>
      <c r="AA255" s="26" t="n"/>
      <c r="AB255" s="24">
        <f>IFERROR(Z255-AA255,0)</f>
        <v/>
      </c>
      <c r="AC255" s="22" t="n"/>
      <c r="AD255" s="27" t="n"/>
    </row>
    <row r="25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3" t="n"/>
      <c r="U256" s="23" t="n"/>
      <c r="V256" s="24">
        <f>IFERROR(O256*U256,0)</f>
        <v/>
      </c>
      <c r="W256" s="22" t="n"/>
      <c r="X256" s="22" t="n"/>
      <c r="Y256" s="25" t="n"/>
      <c r="Z256" s="26" t="n"/>
      <c r="AA256" s="26" t="n"/>
      <c r="AB256" s="24">
        <f>IFERROR(Z256-AA256,0)</f>
        <v/>
      </c>
      <c r="AC256" s="22" t="n"/>
      <c r="AD256" s="27" t="n"/>
    </row>
    <row r="257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3" t="n"/>
      <c r="U257" s="23" t="n"/>
      <c r="V257" s="24">
        <f>IFERROR(O257*U257,0)</f>
        <v/>
      </c>
      <c r="W257" s="22" t="n"/>
      <c r="X257" s="22" t="n"/>
      <c r="Y257" s="25" t="n"/>
      <c r="Z257" s="26" t="n"/>
      <c r="AA257" s="26" t="n"/>
      <c r="AB257" s="24">
        <f>IFERROR(Z257-AA257,0)</f>
        <v/>
      </c>
      <c r="AC257" s="22" t="n"/>
      <c r="AD257" s="27" t="n"/>
    </row>
    <row r="258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3" t="n"/>
      <c r="U258" s="23" t="n"/>
      <c r="V258" s="24">
        <f>IFERROR(O258*U258,0)</f>
        <v/>
      </c>
      <c r="W258" s="22" t="n"/>
      <c r="X258" s="22" t="n"/>
      <c r="Y258" s="25" t="n"/>
      <c r="Z258" s="26" t="n"/>
      <c r="AA258" s="26" t="n"/>
      <c r="AB258" s="24">
        <f>IFERROR(Z258-AA258,0)</f>
        <v/>
      </c>
      <c r="AC258" s="22" t="n"/>
      <c r="AD258" s="27" t="n"/>
    </row>
    <row r="259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3" t="n"/>
      <c r="U259" s="23" t="n"/>
      <c r="V259" s="24">
        <f>IFERROR(O259*U259,0)</f>
        <v/>
      </c>
      <c r="W259" s="22" t="n"/>
      <c r="X259" s="22" t="n"/>
      <c r="Y259" s="25" t="n"/>
      <c r="Z259" s="26" t="n"/>
      <c r="AA259" s="26" t="n"/>
      <c r="AB259" s="24">
        <f>IFERROR(Z259-AA259,0)</f>
        <v/>
      </c>
      <c r="AC259" s="22" t="n"/>
      <c r="AD259" s="27" t="n"/>
    </row>
    <row r="260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3" t="n"/>
      <c r="U260" s="23" t="n"/>
      <c r="V260" s="24">
        <f>IFERROR(O260*U260,0)</f>
        <v/>
      </c>
      <c r="W260" s="22" t="n"/>
      <c r="X260" s="22" t="n"/>
      <c r="Y260" s="25" t="n"/>
      <c r="Z260" s="26" t="n"/>
      <c r="AA260" s="26" t="n"/>
      <c r="AB260" s="24">
        <f>IFERROR(Z260-AA260,0)</f>
        <v/>
      </c>
      <c r="AC260" s="22" t="n"/>
      <c r="AD260" s="27" t="n"/>
    </row>
    <row r="26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3" t="n"/>
      <c r="U261" s="23" t="n"/>
      <c r="V261" s="24">
        <f>IFERROR(O261*U261,0)</f>
        <v/>
      </c>
      <c r="W261" s="22" t="n"/>
      <c r="X261" s="22" t="n"/>
      <c r="Y261" s="25" t="n"/>
      <c r="Z261" s="26" t="n"/>
      <c r="AA261" s="26" t="n"/>
      <c r="AB261" s="24">
        <f>IFERROR(Z261-AA261,0)</f>
        <v/>
      </c>
      <c r="AC261" s="22" t="n"/>
      <c r="AD261" s="27" t="n"/>
    </row>
    <row r="262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3" t="n"/>
      <c r="U262" s="23" t="n"/>
      <c r="V262" s="24">
        <f>IFERROR(O262*U262,0)</f>
        <v/>
      </c>
      <c r="W262" s="22" t="n"/>
      <c r="X262" s="22" t="n"/>
      <c r="Y262" s="25" t="n"/>
      <c r="Z262" s="26" t="n"/>
      <c r="AA262" s="26" t="n"/>
      <c r="AB262" s="24">
        <f>IFERROR(Z262-AA262,0)</f>
        <v/>
      </c>
      <c r="AC262" s="22" t="n"/>
      <c r="AD262" s="27" t="n"/>
    </row>
    <row r="263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3" t="n"/>
      <c r="U263" s="23" t="n"/>
      <c r="V263" s="24">
        <f>IFERROR(O263*U263,0)</f>
        <v/>
      </c>
      <c r="W263" s="22" t="n"/>
      <c r="X263" s="22" t="n"/>
      <c r="Y263" s="25" t="n"/>
      <c r="Z263" s="26" t="n"/>
      <c r="AA263" s="26" t="n"/>
      <c r="AB263" s="24">
        <f>IFERROR(Z263-AA263,0)</f>
        <v/>
      </c>
      <c r="AC263" s="22" t="n"/>
      <c r="AD263" s="27" t="n"/>
    </row>
    <row r="264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3" t="n"/>
      <c r="U264" s="23" t="n"/>
      <c r="V264" s="24">
        <f>IFERROR(O264*U264,0)</f>
        <v/>
      </c>
      <c r="W264" s="22" t="n"/>
      <c r="X264" s="22" t="n"/>
      <c r="Y264" s="25" t="n"/>
      <c r="Z264" s="26" t="n"/>
      <c r="AA264" s="26" t="n"/>
      <c r="AB264" s="24">
        <f>IFERROR(Z264-AA264,0)</f>
        <v/>
      </c>
      <c r="AC264" s="22" t="n"/>
      <c r="AD264" s="27" t="n"/>
    </row>
    <row r="265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3" t="n"/>
      <c r="U265" s="23" t="n"/>
      <c r="V265" s="24">
        <f>IFERROR(O265*U265,0)</f>
        <v/>
      </c>
      <c r="W265" s="22" t="n"/>
      <c r="X265" s="22" t="n"/>
      <c r="Y265" s="25" t="n"/>
      <c r="Z265" s="26" t="n"/>
      <c r="AA265" s="26" t="n"/>
      <c r="AB265" s="24">
        <f>IFERROR(Z265-AA265,0)</f>
        <v/>
      </c>
      <c r="AC265" s="22" t="n"/>
      <c r="AD265" s="27" t="n"/>
    </row>
    <row r="26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3" t="n"/>
      <c r="U266" s="23" t="n"/>
      <c r="V266" s="24">
        <f>IFERROR(O266*U266,0)</f>
        <v/>
      </c>
      <c r="W266" s="22" t="n"/>
      <c r="X266" s="22" t="n"/>
      <c r="Y266" s="25" t="n"/>
      <c r="Z266" s="26" t="n"/>
      <c r="AA266" s="26" t="n"/>
      <c r="AB266" s="24">
        <f>IFERROR(Z266-AA266,0)</f>
        <v/>
      </c>
      <c r="AC266" s="22" t="n"/>
      <c r="AD266" s="27" t="n"/>
    </row>
    <row r="267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3" t="n"/>
      <c r="U267" s="23" t="n"/>
      <c r="V267" s="24">
        <f>IFERROR(O267*U267,0)</f>
        <v/>
      </c>
      <c r="W267" s="22" t="n"/>
      <c r="X267" s="22" t="n"/>
      <c r="Y267" s="25" t="n"/>
      <c r="Z267" s="26" t="n"/>
      <c r="AA267" s="26" t="n"/>
      <c r="AB267" s="24">
        <f>IFERROR(Z267-AA267,0)</f>
        <v/>
      </c>
      <c r="AC267" s="22" t="n"/>
      <c r="AD267" s="27" t="n"/>
    </row>
    <row r="268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3" t="n"/>
      <c r="U268" s="23" t="n"/>
      <c r="V268" s="24">
        <f>IFERROR(O268*U268,0)</f>
        <v/>
      </c>
      <c r="W268" s="22" t="n"/>
      <c r="X268" s="22" t="n"/>
      <c r="Y268" s="25" t="n"/>
      <c r="Z268" s="26" t="n"/>
      <c r="AA268" s="26" t="n"/>
      <c r="AB268" s="24">
        <f>IFERROR(Z268-AA268,0)</f>
        <v/>
      </c>
      <c r="AC268" s="22" t="n"/>
      <c r="AD268" s="27" t="n"/>
    </row>
    <row r="269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3" t="n"/>
      <c r="U269" s="23" t="n"/>
      <c r="V269" s="24">
        <f>IFERROR(O269*U269,0)</f>
        <v/>
      </c>
      <c r="W269" s="22" t="n"/>
      <c r="X269" s="22" t="n"/>
      <c r="Y269" s="25" t="n"/>
      <c r="Z269" s="26" t="n"/>
      <c r="AA269" s="26" t="n"/>
      <c r="AB269" s="24">
        <f>IFERROR(Z269-AA269,0)</f>
        <v/>
      </c>
      <c r="AC269" s="22" t="n"/>
      <c r="AD269" s="27" t="n"/>
    </row>
    <row r="270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3" t="n"/>
      <c r="U270" s="23" t="n"/>
      <c r="V270" s="24">
        <f>IFERROR(O270*U270,0)</f>
        <v/>
      </c>
      <c r="W270" s="22" t="n"/>
      <c r="X270" s="22" t="n"/>
      <c r="Y270" s="25" t="n"/>
      <c r="Z270" s="26" t="n"/>
      <c r="AA270" s="26" t="n"/>
      <c r="AB270" s="24">
        <f>IFERROR(Z270-AA270,0)</f>
        <v/>
      </c>
      <c r="AC270" s="22" t="n"/>
      <c r="AD270" s="27" t="n"/>
    </row>
    <row r="271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3" t="n"/>
      <c r="U271" s="23" t="n"/>
      <c r="V271" s="24">
        <f>IFERROR(O271*U271,0)</f>
        <v/>
      </c>
      <c r="W271" s="22" t="n"/>
      <c r="X271" s="22" t="n"/>
      <c r="Y271" s="25" t="n"/>
      <c r="Z271" s="26" t="n"/>
      <c r="AA271" s="26" t="n"/>
      <c r="AB271" s="24">
        <f>IFERROR(Z271-AA271,0)</f>
        <v/>
      </c>
      <c r="AC271" s="22" t="n"/>
      <c r="AD271" s="27" t="n"/>
    </row>
    <row r="272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3" t="n"/>
      <c r="U272" s="23" t="n"/>
      <c r="V272" s="24">
        <f>IFERROR(O272*U272,0)</f>
        <v/>
      </c>
      <c r="W272" s="22" t="n"/>
      <c r="X272" s="22" t="n"/>
      <c r="Y272" s="25" t="n"/>
      <c r="Z272" s="26" t="n"/>
      <c r="AA272" s="26" t="n"/>
      <c r="AB272" s="24">
        <f>IFERROR(Z272-AA272,0)</f>
        <v/>
      </c>
      <c r="AC272" s="22" t="n"/>
      <c r="AD272" s="27" t="n"/>
    </row>
    <row r="273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3" t="n"/>
      <c r="U273" s="23" t="n"/>
      <c r="V273" s="24">
        <f>IFERROR(O273*U273,0)</f>
        <v/>
      </c>
      <c r="W273" s="22" t="n"/>
      <c r="X273" s="22" t="n"/>
      <c r="Y273" s="25" t="n"/>
      <c r="Z273" s="26" t="n"/>
      <c r="AA273" s="26" t="n"/>
      <c r="AB273" s="24">
        <f>IFERROR(Z273-AA273,0)</f>
        <v/>
      </c>
      <c r="AC273" s="22" t="n"/>
      <c r="AD273" s="27" t="n"/>
    </row>
    <row r="274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3" t="n"/>
      <c r="U274" s="23" t="n"/>
      <c r="V274" s="24">
        <f>IFERROR(O274*U274,0)</f>
        <v/>
      </c>
      <c r="W274" s="22" t="n"/>
      <c r="X274" s="22" t="n"/>
      <c r="Y274" s="25" t="n"/>
      <c r="Z274" s="26" t="n"/>
      <c r="AA274" s="26" t="n"/>
      <c r="AB274" s="24">
        <f>IFERROR(Z274-AA274,0)</f>
        <v/>
      </c>
      <c r="AC274" s="22" t="n"/>
      <c r="AD274" s="27" t="n"/>
    </row>
    <row r="275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3" t="n"/>
      <c r="U275" s="23" t="n"/>
      <c r="V275" s="24">
        <f>IFERROR(O275*U275,0)</f>
        <v/>
      </c>
      <c r="W275" s="22" t="n"/>
      <c r="X275" s="22" t="n"/>
      <c r="Y275" s="25" t="n"/>
      <c r="Z275" s="26" t="n"/>
      <c r="AA275" s="26" t="n"/>
      <c r="AB275" s="24">
        <f>IFERROR(Z275-AA275,0)</f>
        <v/>
      </c>
      <c r="AC275" s="22" t="n"/>
      <c r="AD275" s="27" t="n"/>
    </row>
    <row r="27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3" t="n"/>
      <c r="U276" s="23" t="n"/>
      <c r="V276" s="24">
        <f>IFERROR(O276*U276,0)</f>
        <v/>
      </c>
      <c r="W276" s="22" t="n"/>
      <c r="X276" s="22" t="n"/>
      <c r="Y276" s="25" t="n"/>
      <c r="Z276" s="26" t="n"/>
      <c r="AA276" s="26" t="n"/>
      <c r="AB276" s="24">
        <f>IFERROR(Z276-AA276,0)</f>
        <v/>
      </c>
      <c r="AC276" s="22" t="n"/>
      <c r="AD276" s="27" t="n"/>
    </row>
    <row r="277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3" t="n"/>
      <c r="U277" s="23" t="n"/>
      <c r="V277" s="24">
        <f>IFERROR(O277*U277,0)</f>
        <v/>
      </c>
      <c r="W277" s="22" t="n"/>
      <c r="X277" s="22" t="n"/>
      <c r="Y277" s="25" t="n"/>
      <c r="Z277" s="26" t="n"/>
      <c r="AA277" s="26" t="n"/>
      <c r="AB277" s="24">
        <f>IFERROR(Z277-AA277,0)</f>
        <v/>
      </c>
      <c r="AC277" s="22" t="n"/>
      <c r="AD277" s="27" t="n"/>
    </row>
    <row r="278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3" t="n"/>
      <c r="U278" s="23" t="n"/>
      <c r="V278" s="24">
        <f>IFERROR(O278*U278,0)</f>
        <v/>
      </c>
      <c r="W278" s="22" t="n"/>
      <c r="X278" s="22" t="n"/>
      <c r="Y278" s="25" t="n"/>
      <c r="Z278" s="26" t="n"/>
      <c r="AA278" s="26" t="n"/>
      <c r="AB278" s="24">
        <f>IFERROR(Z278-AA278,0)</f>
        <v/>
      </c>
      <c r="AC278" s="22" t="n"/>
      <c r="AD278" s="27" t="n"/>
    </row>
    <row r="279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3" t="n"/>
      <c r="U279" s="23" t="n"/>
      <c r="V279" s="24">
        <f>IFERROR(O279*U279,0)</f>
        <v/>
      </c>
      <c r="W279" s="22" t="n"/>
      <c r="X279" s="22" t="n"/>
      <c r="Y279" s="25" t="n"/>
      <c r="Z279" s="26" t="n"/>
      <c r="AA279" s="26" t="n"/>
      <c r="AB279" s="24">
        <f>IFERROR(Z279-AA279,0)</f>
        <v/>
      </c>
      <c r="AC279" s="22" t="n"/>
      <c r="AD279" s="27" t="n"/>
    </row>
    <row r="280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3" t="n"/>
      <c r="U280" s="23" t="n"/>
      <c r="V280" s="24">
        <f>IFERROR(O280*U280,0)</f>
        <v/>
      </c>
      <c r="W280" s="22" t="n"/>
      <c r="X280" s="22" t="n"/>
      <c r="Y280" s="25" t="n"/>
      <c r="Z280" s="26" t="n"/>
      <c r="AA280" s="26" t="n"/>
      <c r="AB280" s="24">
        <f>IFERROR(Z280-AA280,0)</f>
        <v/>
      </c>
      <c r="AC280" s="22" t="n"/>
      <c r="AD280" s="27" t="n"/>
    </row>
    <row r="281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3" t="n"/>
      <c r="U281" s="23" t="n"/>
      <c r="V281" s="24">
        <f>IFERROR(O281*U281,0)</f>
        <v/>
      </c>
      <c r="W281" s="22" t="n"/>
      <c r="X281" s="22" t="n"/>
      <c r="Y281" s="25" t="n"/>
      <c r="Z281" s="26" t="n"/>
      <c r="AA281" s="26" t="n"/>
      <c r="AB281" s="24">
        <f>IFERROR(Z281-AA281,0)</f>
        <v/>
      </c>
      <c r="AC281" s="22" t="n"/>
      <c r="AD281" s="27" t="n"/>
    </row>
    <row r="282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3" t="n"/>
      <c r="U282" s="23" t="n"/>
      <c r="V282" s="24">
        <f>IFERROR(O282*U282,0)</f>
        <v/>
      </c>
      <c r="W282" s="22" t="n"/>
      <c r="X282" s="22" t="n"/>
      <c r="Y282" s="25" t="n"/>
      <c r="Z282" s="26" t="n"/>
      <c r="AA282" s="26" t="n"/>
      <c r="AB282" s="24">
        <f>IFERROR(Z282-AA282,0)</f>
        <v/>
      </c>
      <c r="AC282" s="22" t="n"/>
      <c r="AD282" s="27" t="n"/>
    </row>
    <row r="283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3" t="n"/>
      <c r="U283" s="23" t="n"/>
      <c r="V283" s="24">
        <f>IFERROR(O283*U283,0)</f>
        <v/>
      </c>
      <c r="W283" s="22" t="n"/>
      <c r="X283" s="22" t="n"/>
      <c r="Y283" s="25" t="n"/>
      <c r="Z283" s="26" t="n"/>
      <c r="AA283" s="26" t="n"/>
      <c r="AB283" s="24">
        <f>IFERROR(Z283-AA283,0)</f>
        <v/>
      </c>
      <c r="AC283" s="22" t="n"/>
      <c r="AD283" s="27" t="n"/>
    </row>
    <row r="284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3" t="n"/>
      <c r="U284" s="23" t="n"/>
      <c r="V284" s="24">
        <f>IFERROR(O284*U284,0)</f>
        <v/>
      </c>
      <c r="W284" s="22" t="n"/>
      <c r="X284" s="22" t="n"/>
      <c r="Y284" s="25" t="n"/>
      <c r="Z284" s="26" t="n"/>
      <c r="AA284" s="26" t="n"/>
      <c r="AB284" s="24">
        <f>IFERROR(Z284-AA284,0)</f>
        <v/>
      </c>
      <c r="AC284" s="22" t="n"/>
      <c r="AD284" s="27" t="n"/>
    </row>
    <row r="285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3" t="n"/>
      <c r="U285" s="23" t="n"/>
      <c r="V285" s="24">
        <f>IFERROR(O285*U285,0)</f>
        <v/>
      </c>
      <c r="W285" s="22" t="n"/>
      <c r="X285" s="22" t="n"/>
      <c r="Y285" s="25" t="n"/>
      <c r="Z285" s="26" t="n"/>
      <c r="AA285" s="26" t="n"/>
      <c r="AB285" s="24">
        <f>IFERROR(Z285-AA285,0)</f>
        <v/>
      </c>
      <c r="AC285" s="22" t="n"/>
      <c r="AD285" s="27" t="n"/>
    </row>
    <row r="2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3" t="n"/>
      <c r="U286" s="23" t="n"/>
      <c r="V286" s="24">
        <f>IFERROR(O286*U286,0)</f>
        <v/>
      </c>
      <c r="W286" s="22" t="n"/>
      <c r="X286" s="22" t="n"/>
      <c r="Y286" s="25" t="n"/>
      <c r="Z286" s="26" t="n"/>
      <c r="AA286" s="26" t="n"/>
      <c r="AB286" s="24">
        <f>IFERROR(Z286-AA286,0)</f>
        <v/>
      </c>
      <c r="AC286" s="22" t="n"/>
      <c r="AD286" s="27" t="n"/>
    </row>
    <row r="287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3" t="n"/>
      <c r="U287" s="23" t="n"/>
      <c r="V287" s="24">
        <f>IFERROR(O287*U287,0)</f>
        <v/>
      </c>
      <c r="W287" s="22" t="n"/>
      <c r="X287" s="22" t="n"/>
      <c r="Y287" s="25" t="n"/>
      <c r="Z287" s="26" t="n"/>
      <c r="AA287" s="26" t="n"/>
      <c r="AB287" s="24">
        <f>IFERROR(Z287-AA287,0)</f>
        <v/>
      </c>
      <c r="AC287" s="22" t="n"/>
      <c r="AD287" s="27" t="n"/>
    </row>
    <row r="288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3" t="n"/>
      <c r="U288" s="23" t="n"/>
      <c r="V288" s="24">
        <f>IFERROR(O288*U288,0)</f>
        <v/>
      </c>
      <c r="W288" s="22" t="n"/>
      <c r="X288" s="22" t="n"/>
      <c r="Y288" s="25" t="n"/>
      <c r="Z288" s="26" t="n"/>
      <c r="AA288" s="26" t="n"/>
      <c r="AB288" s="24">
        <f>IFERROR(Z288-AA288,0)</f>
        <v/>
      </c>
      <c r="AC288" s="22" t="n"/>
      <c r="AD288" s="27" t="n"/>
    </row>
    <row r="289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3" t="n"/>
      <c r="U289" s="23" t="n"/>
      <c r="V289" s="24">
        <f>IFERROR(O289*U289,0)</f>
        <v/>
      </c>
      <c r="W289" s="22" t="n"/>
      <c r="X289" s="22" t="n"/>
      <c r="Y289" s="25" t="n"/>
      <c r="Z289" s="26" t="n"/>
      <c r="AA289" s="26" t="n"/>
      <c r="AB289" s="24">
        <f>IFERROR(Z289-AA289,0)</f>
        <v/>
      </c>
      <c r="AC289" s="22" t="n"/>
      <c r="AD289" s="27" t="n"/>
    </row>
    <row r="290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3" t="n"/>
      <c r="U290" s="23" t="n"/>
      <c r="V290" s="24">
        <f>IFERROR(O290*U290,0)</f>
        <v/>
      </c>
      <c r="W290" s="22" t="n"/>
      <c r="X290" s="22" t="n"/>
      <c r="Y290" s="25" t="n"/>
      <c r="Z290" s="26" t="n"/>
      <c r="AA290" s="26" t="n"/>
      <c r="AB290" s="24">
        <f>IFERROR(Z290-AA290,0)</f>
        <v/>
      </c>
      <c r="AC290" s="22" t="n"/>
      <c r="AD290" s="27" t="n"/>
    </row>
    <row r="291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3" t="n"/>
      <c r="U291" s="23" t="n"/>
      <c r="V291" s="24">
        <f>IFERROR(O291*U291,0)</f>
        <v/>
      </c>
      <c r="W291" s="22" t="n"/>
      <c r="X291" s="22" t="n"/>
      <c r="Y291" s="25" t="n"/>
      <c r="Z291" s="26" t="n"/>
      <c r="AA291" s="26" t="n"/>
      <c r="AB291" s="24">
        <f>IFERROR(Z291-AA291,0)</f>
        <v/>
      </c>
      <c r="AC291" s="22" t="n"/>
      <c r="AD291" s="27" t="n"/>
    </row>
    <row r="292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3" t="n"/>
      <c r="U292" s="23" t="n"/>
      <c r="V292" s="24">
        <f>IFERROR(O292*U292,0)</f>
        <v/>
      </c>
      <c r="W292" s="22" t="n"/>
      <c r="X292" s="22" t="n"/>
      <c r="Y292" s="25" t="n"/>
      <c r="Z292" s="26" t="n"/>
      <c r="AA292" s="26" t="n"/>
      <c r="AB292" s="24">
        <f>IFERROR(Z292-AA292,0)</f>
        <v/>
      </c>
      <c r="AC292" s="22" t="n"/>
      <c r="AD292" s="27" t="n"/>
    </row>
    <row r="293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3" t="n"/>
      <c r="U293" s="23" t="n"/>
      <c r="V293" s="24">
        <f>IFERROR(O293*U293,0)</f>
        <v/>
      </c>
      <c r="W293" s="22" t="n"/>
      <c r="X293" s="22" t="n"/>
      <c r="Y293" s="25" t="n"/>
      <c r="Z293" s="26" t="n"/>
      <c r="AA293" s="26" t="n"/>
      <c r="AB293" s="24">
        <f>IFERROR(Z293-AA293,0)</f>
        <v/>
      </c>
      <c r="AC293" s="22" t="n"/>
      <c r="AD293" s="27" t="n"/>
    </row>
    <row r="294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3" t="n"/>
      <c r="U294" s="23" t="n"/>
      <c r="V294" s="24">
        <f>IFERROR(O294*U294,0)</f>
        <v/>
      </c>
      <c r="W294" s="22" t="n"/>
      <c r="X294" s="22" t="n"/>
      <c r="Y294" s="25" t="n"/>
      <c r="Z294" s="26" t="n"/>
      <c r="AA294" s="26" t="n"/>
      <c r="AB294" s="24">
        <f>IFERROR(Z294-AA294,0)</f>
        <v/>
      </c>
      <c r="AC294" s="22" t="n"/>
      <c r="AD294" s="27" t="n"/>
    </row>
    <row r="295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3" t="n"/>
      <c r="U295" s="23" t="n"/>
      <c r="V295" s="24">
        <f>IFERROR(O295*U295,0)</f>
        <v/>
      </c>
      <c r="W295" s="22" t="n"/>
      <c r="X295" s="22" t="n"/>
      <c r="Y295" s="25" t="n"/>
      <c r="Z295" s="26" t="n"/>
      <c r="AA295" s="26" t="n"/>
      <c r="AB295" s="24">
        <f>IFERROR(Z295-AA295,0)</f>
        <v/>
      </c>
      <c r="AC295" s="22" t="n"/>
      <c r="AD295" s="27" t="n"/>
    </row>
    <row r="29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3" t="n"/>
      <c r="U296" s="23" t="n"/>
      <c r="V296" s="24">
        <f>IFERROR(O296*U296,0)</f>
        <v/>
      </c>
      <c r="W296" s="22" t="n"/>
      <c r="X296" s="22" t="n"/>
      <c r="Y296" s="25" t="n"/>
      <c r="Z296" s="26" t="n"/>
      <c r="AA296" s="26" t="n"/>
      <c r="AB296" s="24">
        <f>IFERROR(Z296-AA296,0)</f>
        <v/>
      </c>
      <c r="AC296" s="22" t="n"/>
      <c r="AD296" s="27" t="n"/>
    </row>
    <row r="297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3" t="n"/>
      <c r="U297" s="23" t="n"/>
      <c r="V297" s="24">
        <f>IFERROR(O297*U297,0)</f>
        <v/>
      </c>
      <c r="W297" s="22" t="n"/>
      <c r="X297" s="22" t="n"/>
      <c r="Y297" s="25" t="n"/>
      <c r="Z297" s="26" t="n"/>
      <c r="AA297" s="26" t="n"/>
      <c r="AB297" s="24">
        <f>IFERROR(Z297-AA297,0)</f>
        <v/>
      </c>
      <c r="AC297" s="22" t="n"/>
      <c r="AD297" s="27" t="n"/>
    </row>
    <row r="298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3" t="n"/>
      <c r="U298" s="23" t="n"/>
      <c r="V298" s="24">
        <f>IFERROR(O298*U298,0)</f>
        <v/>
      </c>
      <c r="W298" s="22" t="n"/>
      <c r="X298" s="22" t="n"/>
      <c r="Y298" s="25" t="n"/>
      <c r="Z298" s="26" t="n"/>
      <c r="AA298" s="26" t="n"/>
      <c r="AB298" s="24">
        <f>IFERROR(Z298-AA298,0)</f>
        <v/>
      </c>
      <c r="AC298" s="22" t="n"/>
      <c r="AD298" s="27" t="n"/>
    </row>
    <row r="299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3" t="n"/>
      <c r="U299" s="23" t="n"/>
      <c r="V299" s="24">
        <f>IFERROR(O299*U299,0)</f>
        <v/>
      </c>
      <c r="W299" s="22" t="n"/>
      <c r="X299" s="22" t="n"/>
      <c r="Y299" s="25" t="n"/>
      <c r="Z299" s="26" t="n"/>
      <c r="AA299" s="26" t="n"/>
      <c r="AB299" s="24">
        <f>IFERROR(Z299-AA299,0)</f>
        <v/>
      </c>
      <c r="AC299" s="22" t="n"/>
      <c r="AD299" s="27" t="n"/>
    </row>
    <row r="300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3" t="n"/>
      <c r="U300" s="23" t="n"/>
      <c r="V300" s="24">
        <f>IFERROR(O300*U300,0)</f>
        <v/>
      </c>
      <c r="W300" s="22" t="n"/>
      <c r="X300" s="22" t="n"/>
      <c r="Y300" s="25" t="n"/>
      <c r="Z300" s="26" t="n"/>
      <c r="AA300" s="26" t="n"/>
      <c r="AB300" s="24">
        <f>IFERROR(Z300-AA300,0)</f>
        <v/>
      </c>
      <c r="AC300" s="22" t="n"/>
      <c r="AD300" s="27" t="n"/>
    </row>
    <row r="301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3" t="n"/>
      <c r="U301" s="23" t="n"/>
      <c r="V301" s="24">
        <f>IFERROR(O301*U301,0)</f>
        <v/>
      </c>
      <c r="W301" s="22" t="n"/>
      <c r="X301" s="22" t="n"/>
      <c r="Y301" s="25" t="n"/>
      <c r="Z301" s="26" t="n"/>
      <c r="AA301" s="26" t="n"/>
      <c r="AB301" s="24">
        <f>IFERROR(Z301-AA301,0)</f>
        <v/>
      </c>
      <c r="AC301" s="22" t="n"/>
      <c r="AD301" s="27" t="n"/>
    </row>
    <row r="302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3" t="n"/>
      <c r="U302" s="23" t="n"/>
      <c r="V302" s="24">
        <f>IFERROR(O302*U302,0)</f>
        <v/>
      </c>
      <c r="W302" s="22" t="n"/>
      <c r="X302" s="22" t="n"/>
      <c r="Y302" s="25" t="n"/>
      <c r="Z302" s="26" t="n"/>
      <c r="AA302" s="26" t="n"/>
      <c r="AB302" s="24">
        <f>IFERROR(Z302-AA302,0)</f>
        <v/>
      </c>
      <c r="AC302" s="22" t="n"/>
      <c r="AD302" s="27" t="n"/>
    </row>
    <row r="303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3" t="n"/>
      <c r="U303" s="23" t="n"/>
      <c r="V303" s="24">
        <f>IFERROR(O303*U303,0)</f>
        <v/>
      </c>
      <c r="W303" s="22" t="n"/>
      <c r="X303" s="22" t="n"/>
      <c r="Y303" s="25" t="n"/>
      <c r="Z303" s="26" t="n"/>
      <c r="AA303" s="26" t="n"/>
      <c r="AB303" s="24">
        <f>IFERROR(Z303-AA303,0)</f>
        <v/>
      </c>
      <c r="AC303" s="22" t="n"/>
      <c r="AD303" s="27" t="n"/>
    </row>
    <row r="304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3" t="n"/>
      <c r="U304" s="23" t="n"/>
      <c r="V304" s="24">
        <f>IFERROR(O304*U304,0)</f>
        <v/>
      </c>
      <c r="W304" s="22" t="n"/>
      <c r="X304" s="22" t="n"/>
      <c r="Y304" s="25" t="n"/>
      <c r="Z304" s="26" t="n"/>
      <c r="AA304" s="26" t="n"/>
      <c r="AB304" s="24">
        <f>IFERROR(Z304-AA304,0)</f>
        <v/>
      </c>
      <c r="AC304" s="22" t="n"/>
      <c r="AD304" s="27" t="n"/>
    </row>
    <row r="305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3" t="n"/>
      <c r="U305" s="23" t="n"/>
      <c r="V305" s="24">
        <f>IFERROR(O305*U305,0)</f>
        <v/>
      </c>
      <c r="W305" s="22" t="n"/>
      <c r="X305" s="22" t="n"/>
      <c r="Y305" s="25" t="n"/>
      <c r="Z305" s="26" t="n"/>
      <c r="AA305" s="26" t="n"/>
      <c r="AB305" s="24">
        <f>IFERROR(Z305-AA305,0)</f>
        <v/>
      </c>
      <c r="AC305" s="22" t="n"/>
      <c r="AD305" s="27" t="n"/>
    </row>
    <row r="30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3" t="n"/>
      <c r="U306" s="23" t="n"/>
      <c r="V306" s="24">
        <f>IFERROR(O306*U306,0)</f>
        <v/>
      </c>
      <c r="W306" s="22" t="n"/>
      <c r="X306" s="22" t="n"/>
      <c r="Y306" s="25" t="n"/>
      <c r="Z306" s="26" t="n"/>
      <c r="AA306" s="26" t="n"/>
      <c r="AB306" s="24">
        <f>IFERROR(Z306-AA306,0)</f>
        <v/>
      </c>
      <c r="AC306" s="22" t="n"/>
      <c r="AD306" s="27" t="n"/>
    </row>
    <row r="307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3" t="n"/>
      <c r="U307" s="23" t="n"/>
      <c r="V307" s="24">
        <f>IFERROR(O307*U307,0)</f>
        <v/>
      </c>
      <c r="W307" s="22" t="n"/>
      <c r="X307" s="22" t="n"/>
      <c r="Y307" s="25" t="n"/>
      <c r="Z307" s="26" t="n"/>
      <c r="AA307" s="26" t="n"/>
      <c r="AB307" s="24">
        <f>IFERROR(Z307-AA307,0)</f>
        <v/>
      </c>
      <c r="AC307" s="22" t="n"/>
      <c r="AD307" s="27" t="n"/>
    </row>
    <row r="308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3" t="n"/>
      <c r="U308" s="23" t="n"/>
      <c r="V308" s="24">
        <f>IFERROR(O308*U308,0)</f>
        <v/>
      </c>
      <c r="W308" s="22" t="n"/>
      <c r="X308" s="22" t="n"/>
      <c r="Y308" s="25" t="n"/>
      <c r="Z308" s="26" t="n"/>
      <c r="AA308" s="26" t="n"/>
      <c r="AB308" s="24">
        <f>IFERROR(Z308-AA308,0)</f>
        <v/>
      </c>
      <c r="AC308" s="22" t="n"/>
      <c r="AD308" s="27" t="n"/>
    </row>
    <row r="309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3" t="n"/>
      <c r="U309" s="23" t="n"/>
      <c r="V309" s="24">
        <f>IFERROR(O309*U309,0)</f>
        <v/>
      </c>
      <c r="W309" s="22" t="n"/>
      <c r="X309" s="22" t="n"/>
      <c r="Y309" s="25" t="n"/>
      <c r="Z309" s="26" t="n"/>
      <c r="AA309" s="26" t="n"/>
      <c r="AB309" s="24">
        <f>IFERROR(Z309-AA309,0)</f>
        <v/>
      </c>
      <c r="AC309" s="22" t="n"/>
      <c r="AD309" s="27" t="n"/>
    </row>
    <row r="310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3" t="n"/>
      <c r="U310" s="23" t="n"/>
      <c r="V310" s="24">
        <f>IFERROR(O310*U310,0)</f>
        <v/>
      </c>
      <c r="W310" s="22" t="n"/>
      <c r="X310" s="22" t="n"/>
      <c r="Y310" s="25" t="n"/>
      <c r="Z310" s="26" t="n"/>
      <c r="AA310" s="26" t="n"/>
      <c r="AB310" s="24">
        <f>IFERROR(Z310-AA310,0)</f>
        <v/>
      </c>
      <c r="AC310" s="22" t="n"/>
      <c r="AD310" s="27" t="n"/>
    </row>
    <row r="311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3" t="n"/>
      <c r="U311" s="23" t="n"/>
      <c r="V311" s="24">
        <f>IFERROR(O311*U311,0)</f>
        <v/>
      </c>
      <c r="W311" s="22" t="n"/>
      <c r="X311" s="22" t="n"/>
      <c r="Y311" s="25" t="n"/>
      <c r="Z311" s="26" t="n"/>
      <c r="AA311" s="26" t="n"/>
      <c r="AB311" s="24">
        <f>IFERROR(Z311-AA311,0)</f>
        <v/>
      </c>
      <c r="AC311" s="22" t="n"/>
      <c r="AD311" s="27" t="n"/>
    </row>
    <row r="312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3" t="n"/>
      <c r="U312" s="23" t="n"/>
      <c r="V312" s="24">
        <f>IFERROR(O312*U312,0)</f>
        <v/>
      </c>
      <c r="W312" s="22" t="n"/>
      <c r="X312" s="22" t="n"/>
      <c r="Y312" s="25" t="n"/>
      <c r="Z312" s="26" t="n"/>
      <c r="AA312" s="26" t="n"/>
      <c r="AB312" s="24">
        <f>IFERROR(Z312-AA312,0)</f>
        <v/>
      </c>
      <c r="AC312" s="22" t="n"/>
      <c r="AD312" s="27" t="n"/>
    </row>
    <row r="313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3" t="n"/>
      <c r="U313" s="23" t="n"/>
      <c r="V313" s="24">
        <f>IFERROR(O313*U313,0)</f>
        <v/>
      </c>
      <c r="W313" s="22" t="n"/>
      <c r="X313" s="22" t="n"/>
      <c r="Y313" s="25" t="n"/>
      <c r="Z313" s="26" t="n"/>
      <c r="AA313" s="26" t="n"/>
      <c r="AB313" s="24">
        <f>IFERROR(Z313-AA313,0)</f>
        <v/>
      </c>
      <c r="AC313" s="22" t="n"/>
      <c r="AD313" s="27" t="n"/>
    </row>
    <row r="314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3" t="n"/>
      <c r="U314" s="23" t="n"/>
      <c r="V314" s="24">
        <f>IFERROR(O314*U314,0)</f>
        <v/>
      </c>
      <c r="W314" s="22" t="n"/>
      <c r="X314" s="22" t="n"/>
      <c r="Y314" s="25" t="n"/>
      <c r="Z314" s="26" t="n"/>
      <c r="AA314" s="26" t="n"/>
      <c r="AB314" s="24">
        <f>IFERROR(Z314-AA314,0)</f>
        <v/>
      </c>
      <c r="AC314" s="22" t="n"/>
      <c r="AD314" s="27" t="n"/>
    </row>
    <row r="315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3" t="n"/>
      <c r="U315" s="23" t="n"/>
      <c r="V315" s="24">
        <f>IFERROR(O315*U315,0)</f>
        <v/>
      </c>
      <c r="W315" s="22" t="n"/>
      <c r="X315" s="22" t="n"/>
      <c r="Y315" s="25" t="n"/>
      <c r="Z315" s="26" t="n"/>
      <c r="AA315" s="26" t="n"/>
      <c r="AB315" s="24">
        <f>IFERROR(Z315-AA315,0)</f>
        <v/>
      </c>
      <c r="AC315" s="22" t="n"/>
      <c r="AD315" s="27" t="n"/>
    </row>
    <row r="31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3" t="n"/>
      <c r="U316" s="23" t="n"/>
      <c r="V316" s="24">
        <f>IFERROR(O316*U316,0)</f>
        <v/>
      </c>
      <c r="W316" s="22" t="n"/>
      <c r="X316" s="22" t="n"/>
      <c r="Y316" s="25" t="n"/>
      <c r="Z316" s="26" t="n"/>
      <c r="AA316" s="26" t="n"/>
      <c r="AB316" s="24">
        <f>IFERROR(Z316-AA316,0)</f>
        <v/>
      </c>
      <c r="AC316" s="22" t="n"/>
      <c r="AD316" s="27" t="n"/>
    </row>
    <row r="317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3" t="n"/>
      <c r="U317" s="23" t="n"/>
      <c r="V317" s="24">
        <f>IFERROR(O317*U317,0)</f>
        <v/>
      </c>
      <c r="W317" s="22" t="n"/>
      <c r="X317" s="22" t="n"/>
      <c r="Y317" s="25" t="n"/>
      <c r="Z317" s="26" t="n"/>
      <c r="AA317" s="26" t="n"/>
      <c r="AB317" s="24">
        <f>IFERROR(Z317-AA317,0)</f>
        <v/>
      </c>
      <c r="AC317" s="22" t="n"/>
      <c r="AD317" s="27" t="n"/>
    </row>
    <row r="318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3" t="n"/>
      <c r="U318" s="23" t="n"/>
      <c r="V318" s="24">
        <f>IFERROR(O318*U318,0)</f>
        <v/>
      </c>
      <c r="W318" s="22" t="n"/>
      <c r="X318" s="22" t="n"/>
      <c r="Y318" s="25" t="n"/>
      <c r="Z318" s="26" t="n"/>
      <c r="AA318" s="26" t="n"/>
      <c r="AB318" s="24">
        <f>IFERROR(Z318-AA318,0)</f>
        <v/>
      </c>
      <c r="AC318" s="22" t="n"/>
      <c r="AD318" s="27" t="n"/>
    </row>
    <row r="319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3" t="n"/>
      <c r="U319" s="23" t="n"/>
      <c r="V319" s="24">
        <f>IFERROR(O319*U319,0)</f>
        <v/>
      </c>
      <c r="W319" s="22" t="n"/>
      <c r="X319" s="22" t="n"/>
      <c r="Y319" s="25" t="n"/>
      <c r="Z319" s="26" t="n"/>
      <c r="AA319" s="26" t="n"/>
      <c r="AB319" s="24">
        <f>IFERROR(Z319-AA319,0)</f>
        <v/>
      </c>
      <c r="AC319" s="22" t="n"/>
      <c r="AD319" s="27" t="n"/>
    </row>
    <row r="320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3" t="n"/>
      <c r="U320" s="23" t="n"/>
      <c r="V320" s="24">
        <f>IFERROR(O320*U320,0)</f>
        <v/>
      </c>
      <c r="W320" s="22" t="n"/>
      <c r="X320" s="22" t="n"/>
      <c r="Y320" s="25" t="n"/>
      <c r="Z320" s="26" t="n"/>
      <c r="AA320" s="26" t="n"/>
      <c r="AB320" s="24">
        <f>IFERROR(Z320-AA320,0)</f>
        <v/>
      </c>
      <c r="AC320" s="22" t="n"/>
      <c r="AD320" s="27" t="n"/>
    </row>
    <row r="321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3" t="n"/>
      <c r="U321" s="23" t="n"/>
      <c r="V321" s="24">
        <f>IFERROR(O321*U321,0)</f>
        <v/>
      </c>
      <c r="W321" s="22" t="n"/>
      <c r="X321" s="22" t="n"/>
      <c r="Y321" s="25" t="n"/>
      <c r="Z321" s="26" t="n"/>
      <c r="AA321" s="26" t="n"/>
      <c r="AB321" s="24">
        <f>IFERROR(Z321-AA321,0)</f>
        <v/>
      </c>
      <c r="AC321" s="22" t="n"/>
      <c r="AD321" s="27" t="n"/>
    </row>
    <row r="322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3" t="n"/>
      <c r="U322" s="23" t="n"/>
      <c r="V322" s="24">
        <f>IFERROR(O322*U322,0)</f>
        <v/>
      </c>
      <c r="W322" s="22" t="n"/>
      <c r="X322" s="22" t="n"/>
      <c r="Y322" s="25" t="n"/>
      <c r="Z322" s="26" t="n"/>
      <c r="AA322" s="26" t="n"/>
      <c r="AB322" s="24">
        <f>IFERROR(Z322-AA322,0)</f>
        <v/>
      </c>
      <c r="AC322" s="22" t="n"/>
      <c r="AD322" s="27" t="n"/>
    </row>
    <row r="323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3" t="n"/>
      <c r="U323" s="23" t="n"/>
      <c r="V323" s="24">
        <f>IFERROR(O323*U323,0)</f>
        <v/>
      </c>
      <c r="W323" s="22" t="n"/>
      <c r="X323" s="22" t="n"/>
      <c r="Y323" s="25" t="n"/>
      <c r="Z323" s="26" t="n"/>
      <c r="AA323" s="26" t="n"/>
      <c r="AB323" s="24">
        <f>IFERROR(Z323-AA323,0)</f>
        <v/>
      </c>
      <c r="AC323" s="22" t="n"/>
      <c r="AD323" s="27" t="n"/>
    </row>
    <row r="324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3" t="n"/>
      <c r="U324" s="23" t="n"/>
      <c r="V324" s="24">
        <f>IFERROR(O324*U324,0)</f>
        <v/>
      </c>
      <c r="W324" s="22" t="n"/>
      <c r="X324" s="22" t="n"/>
      <c r="Y324" s="25" t="n"/>
      <c r="Z324" s="26" t="n"/>
      <c r="AA324" s="26" t="n"/>
      <c r="AB324" s="24">
        <f>IFERROR(Z324-AA324,0)</f>
        <v/>
      </c>
      <c r="AC324" s="22" t="n"/>
      <c r="AD324" s="27" t="n"/>
    </row>
    <row r="325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3" t="n"/>
      <c r="U325" s="23" t="n"/>
      <c r="V325" s="24">
        <f>IFERROR(O325*U325,0)</f>
        <v/>
      </c>
      <c r="W325" s="22" t="n"/>
      <c r="X325" s="22" t="n"/>
      <c r="Y325" s="25" t="n"/>
      <c r="Z325" s="26" t="n"/>
      <c r="AA325" s="26" t="n"/>
      <c r="AB325" s="24">
        <f>IFERROR(Z325-AA325,0)</f>
        <v/>
      </c>
      <c r="AC325" s="22" t="n"/>
      <c r="AD325" s="27" t="n"/>
    </row>
    <row r="32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3" t="n"/>
      <c r="U326" s="23" t="n"/>
      <c r="V326" s="24">
        <f>IFERROR(O326*U326,0)</f>
        <v/>
      </c>
      <c r="W326" s="22" t="n"/>
      <c r="X326" s="22" t="n"/>
      <c r="Y326" s="25" t="n"/>
      <c r="Z326" s="26" t="n"/>
      <c r="AA326" s="26" t="n"/>
      <c r="AB326" s="24">
        <f>IFERROR(Z326-AA326,0)</f>
        <v/>
      </c>
      <c r="AC326" s="22" t="n"/>
      <c r="AD326" s="27" t="n"/>
    </row>
    <row r="327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3" t="n"/>
      <c r="U327" s="23" t="n"/>
      <c r="V327" s="24">
        <f>IFERROR(O327*U327,0)</f>
        <v/>
      </c>
      <c r="W327" s="22" t="n"/>
      <c r="X327" s="22" t="n"/>
      <c r="Y327" s="25" t="n"/>
      <c r="Z327" s="26" t="n"/>
      <c r="AA327" s="26" t="n"/>
      <c r="AB327" s="24">
        <f>IFERROR(Z327-AA327,0)</f>
        <v/>
      </c>
      <c r="AC327" s="22" t="n"/>
      <c r="AD327" s="27" t="n"/>
    </row>
    <row r="328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3" t="n"/>
      <c r="U328" s="23" t="n"/>
      <c r="V328" s="24">
        <f>IFERROR(O328*U328,0)</f>
        <v/>
      </c>
      <c r="W328" s="22" t="n"/>
      <c r="X328" s="22" t="n"/>
      <c r="Y328" s="25" t="n"/>
      <c r="Z328" s="26" t="n"/>
      <c r="AA328" s="26" t="n"/>
      <c r="AB328" s="24">
        <f>IFERROR(Z328-AA328,0)</f>
        <v/>
      </c>
      <c r="AC328" s="22" t="n"/>
      <c r="AD328" s="27" t="n"/>
    </row>
    <row r="329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3" t="n"/>
      <c r="U329" s="23" t="n"/>
      <c r="V329" s="24">
        <f>IFERROR(O329*U329,0)</f>
        <v/>
      </c>
      <c r="W329" s="22" t="n"/>
      <c r="X329" s="22" t="n"/>
      <c r="Y329" s="25" t="n"/>
      <c r="Z329" s="26" t="n"/>
      <c r="AA329" s="26" t="n"/>
      <c r="AB329" s="24">
        <f>IFERROR(Z329-AA329,0)</f>
        <v/>
      </c>
      <c r="AC329" s="22" t="n"/>
      <c r="AD329" s="27" t="n"/>
    </row>
    <row r="330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3" t="n"/>
      <c r="U330" s="23" t="n"/>
      <c r="V330" s="24">
        <f>IFERROR(O330*U330,0)</f>
        <v/>
      </c>
      <c r="W330" s="22" t="n"/>
      <c r="X330" s="22" t="n"/>
      <c r="Y330" s="25" t="n"/>
      <c r="Z330" s="26" t="n"/>
      <c r="AA330" s="26" t="n"/>
      <c r="AB330" s="24">
        <f>IFERROR(Z330-AA330,0)</f>
        <v/>
      </c>
      <c r="AC330" s="22" t="n"/>
      <c r="AD330" s="27" t="n"/>
    </row>
    <row r="331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3" t="n"/>
      <c r="U331" s="23" t="n"/>
      <c r="V331" s="24">
        <f>IFERROR(O331*U331,0)</f>
        <v/>
      </c>
      <c r="W331" s="22" t="n"/>
      <c r="X331" s="22" t="n"/>
      <c r="Y331" s="25" t="n"/>
      <c r="Z331" s="26" t="n"/>
      <c r="AA331" s="26" t="n"/>
      <c r="AB331" s="24">
        <f>IFERROR(Z331-AA331,0)</f>
        <v/>
      </c>
      <c r="AC331" s="22" t="n"/>
      <c r="AD331" s="27" t="n"/>
    </row>
    <row r="332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3" t="n"/>
      <c r="U332" s="23" t="n"/>
      <c r="V332" s="24">
        <f>IFERROR(O332*U332,0)</f>
        <v/>
      </c>
      <c r="W332" s="22" t="n"/>
      <c r="X332" s="22" t="n"/>
      <c r="Y332" s="25" t="n"/>
      <c r="Z332" s="26" t="n"/>
      <c r="AA332" s="26" t="n"/>
      <c r="AB332" s="24">
        <f>IFERROR(Z332-AA332,0)</f>
        <v/>
      </c>
      <c r="AC332" s="22" t="n"/>
      <c r="AD332" s="27" t="n"/>
    </row>
    <row r="333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3" t="n"/>
      <c r="U333" s="23" t="n"/>
      <c r="V333" s="24">
        <f>IFERROR(O333*U333,0)</f>
        <v/>
      </c>
      <c r="W333" s="22" t="n"/>
      <c r="X333" s="22" t="n"/>
      <c r="Y333" s="25" t="n"/>
      <c r="Z333" s="26" t="n"/>
      <c r="AA333" s="26" t="n"/>
      <c r="AB333" s="24">
        <f>IFERROR(Z333-AA333,0)</f>
        <v/>
      </c>
      <c r="AC333" s="22" t="n"/>
      <c r="AD333" s="27" t="n"/>
    </row>
    <row r="334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3" t="n"/>
      <c r="U334" s="23" t="n"/>
      <c r="V334" s="24">
        <f>IFERROR(O334*U334,0)</f>
        <v/>
      </c>
      <c r="W334" s="22" t="n"/>
      <c r="X334" s="22" t="n"/>
      <c r="Y334" s="25" t="n"/>
      <c r="Z334" s="26" t="n"/>
      <c r="AA334" s="26" t="n"/>
      <c r="AB334" s="24">
        <f>IFERROR(Z334-AA334,0)</f>
        <v/>
      </c>
      <c r="AC334" s="22" t="n"/>
      <c r="AD334" s="27" t="n"/>
    </row>
    <row r="335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3" t="n"/>
      <c r="U335" s="23" t="n"/>
      <c r="V335" s="24">
        <f>IFERROR(O335*U335,0)</f>
        <v/>
      </c>
      <c r="W335" s="22" t="n"/>
      <c r="X335" s="22" t="n"/>
      <c r="Y335" s="25" t="n"/>
      <c r="Z335" s="26" t="n"/>
      <c r="AA335" s="26" t="n"/>
      <c r="AB335" s="24">
        <f>IFERROR(Z335-AA335,0)</f>
        <v/>
      </c>
      <c r="AC335" s="22" t="n"/>
      <c r="AD335" s="27" t="n"/>
    </row>
    <row r="33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3" t="n"/>
      <c r="U336" s="23" t="n"/>
      <c r="V336" s="24">
        <f>IFERROR(O336*U336,0)</f>
        <v/>
      </c>
      <c r="W336" s="22" t="n"/>
      <c r="X336" s="22" t="n"/>
      <c r="Y336" s="25" t="n"/>
      <c r="Z336" s="26" t="n"/>
      <c r="AA336" s="26" t="n"/>
      <c r="AB336" s="24">
        <f>IFERROR(Z336-AA336,0)</f>
        <v/>
      </c>
      <c r="AC336" s="22" t="n"/>
      <c r="AD336" s="27" t="n"/>
    </row>
    <row r="337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3" t="n"/>
      <c r="U337" s="23" t="n"/>
      <c r="V337" s="24">
        <f>IFERROR(O337*U337,0)</f>
        <v/>
      </c>
      <c r="W337" s="22" t="n"/>
      <c r="X337" s="22" t="n"/>
      <c r="Y337" s="25" t="n"/>
      <c r="Z337" s="26" t="n"/>
      <c r="AA337" s="26" t="n"/>
      <c r="AB337" s="24">
        <f>IFERROR(Z337-AA337,0)</f>
        <v/>
      </c>
      <c r="AC337" s="22" t="n"/>
      <c r="AD337" s="27" t="n"/>
    </row>
    <row r="338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3" t="n"/>
      <c r="U338" s="23" t="n"/>
      <c r="V338" s="24">
        <f>IFERROR(O338*U338,0)</f>
        <v/>
      </c>
      <c r="W338" s="22" t="n"/>
      <c r="X338" s="22" t="n"/>
      <c r="Y338" s="25" t="n"/>
      <c r="Z338" s="26" t="n"/>
      <c r="AA338" s="26" t="n"/>
      <c r="AB338" s="24">
        <f>IFERROR(Z338-AA338,0)</f>
        <v/>
      </c>
      <c r="AC338" s="22" t="n"/>
      <c r="AD338" s="27" t="n"/>
    </row>
    <row r="339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3" t="n"/>
      <c r="U339" s="23" t="n"/>
      <c r="V339" s="24">
        <f>IFERROR(O339*U339,0)</f>
        <v/>
      </c>
      <c r="W339" s="22" t="n"/>
      <c r="X339" s="22" t="n"/>
      <c r="Y339" s="25" t="n"/>
      <c r="Z339" s="26" t="n"/>
      <c r="AA339" s="26" t="n"/>
      <c r="AB339" s="24">
        <f>IFERROR(Z339-AA339,0)</f>
        <v/>
      </c>
      <c r="AC339" s="22" t="n"/>
      <c r="AD339" s="27" t="n"/>
    </row>
    <row r="340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3" t="n"/>
      <c r="U340" s="23" t="n"/>
      <c r="V340" s="24">
        <f>IFERROR(O340*U340,0)</f>
        <v/>
      </c>
      <c r="W340" s="22" t="n"/>
      <c r="X340" s="22" t="n"/>
      <c r="Y340" s="25" t="n"/>
      <c r="Z340" s="26" t="n"/>
      <c r="AA340" s="26" t="n"/>
      <c r="AB340" s="24">
        <f>IFERROR(Z340-AA340,0)</f>
        <v/>
      </c>
      <c r="AC340" s="22" t="n"/>
      <c r="AD340" s="27" t="n"/>
    </row>
    <row r="341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3" t="n"/>
      <c r="U341" s="23" t="n"/>
      <c r="V341" s="24">
        <f>IFERROR(O341*U341,0)</f>
        <v/>
      </c>
      <c r="W341" s="22" t="n"/>
      <c r="X341" s="22" t="n"/>
      <c r="Y341" s="25" t="n"/>
      <c r="Z341" s="26" t="n"/>
      <c r="AA341" s="26" t="n"/>
      <c r="AB341" s="24">
        <f>IFERROR(Z341-AA341,0)</f>
        <v/>
      </c>
      <c r="AC341" s="22" t="n"/>
      <c r="AD341" s="27" t="n"/>
    </row>
    <row r="342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3" t="n"/>
      <c r="U342" s="23" t="n"/>
      <c r="V342" s="24">
        <f>IFERROR(O342*U342,0)</f>
        <v/>
      </c>
      <c r="W342" s="22" t="n"/>
      <c r="X342" s="22" t="n"/>
      <c r="Y342" s="25" t="n"/>
      <c r="Z342" s="26" t="n"/>
      <c r="AA342" s="26" t="n"/>
      <c r="AB342" s="24">
        <f>IFERROR(Z342-AA342,0)</f>
        <v/>
      </c>
      <c r="AC342" s="22" t="n"/>
      <c r="AD342" s="27" t="n"/>
    </row>
    <row r="343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3" t="n"/>
      <c r="U343" s="23" t="n"/>
      <c r="V343" s="24">
        <f>IFERROR(O343*U343,0)</f>
        <v/>
      </c>
      <c r="W343" s="22" t="n"/>
      <c r="X343" s="22" t="n"/>
      <c r="Y343" s="25" t="n"/>
      <c r="Z343" s="26" t="n"/>
      <c r="AA343" s="26" t="n"/>
      <c r="AB343" s="24">
        <f>IFERROR(Z343-AA343,0)</f>
        <v/>
      </c>
      <c r="AC343" s="22" t="n"/>
      <c r="AD343" s="27" t="n"/>
    </row>
    <row r="344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3" t="n"/>
      <c r="U344" s="23" t="n"/>
      <c r="V344" s="24">
        <f>IFERROR(O344*U344,0)</f>
        <v/>
      </c>
      <c r="W344" s="22" t="n"/>
      <c r="X344" s="22" t="n"/>
      <c r="Y344" s="25" t="n"/>
      <c r="Z344" s="26" t="n"/>
      <c r="AA344" s="26" t="n"/>
      <c r="AB344" s="24">
        <f>IFERROR(Z344-AA344,0)</f>
        <v/>
      </c>
      <c r="AC344" s="22" t="n"/>
      <c r="AD344" s="27" t="n"/>
    </row>
    <row r="345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3" t="n"/>
      <c r="U345" s="23" t="n"/>
      <c r="V345" s="24">
        <f>IFERROR(O345*U345,0)</f>
        <v/>
      </c>
      <c r="W345" s="22" t="n"/>
      <c r="X345" s="22" t="n"/>
      <c r="Y345" s="25" t="n"/>
      <c r="Z345" s="26" t="n"/>
      <c r="AA345" s="26" t="n"/>
      <c r="AB345" s="24">
        <f>IFERROR(Z345-AA345,0)</f>
        <v/>
      </c>
      <c r="AC345" s="22" t="n"/>
      <c r="AD345" s="27" t="n"/>
    </row>
    <row r="34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3" t="n"/>
      <c r="U346" s="23" t="n"/>
      <c r="V346" s="24">
        <f>IFERROR(O346*U346,0)</f>
        <v/>
      </c>
      <c r="W346" s="22" t="n"/>
      <c r="X346" s="22" t="n"/>
      <c r="Y346" s="25" t="n"/>
      <c r="Z346" s="26" t="n"/>
      <c r="AA346" s="26" t="n"/>
      <c r="AB346" s="24">
        <f>IFERROR(Z346-AA346,0)</f>
        <v/>
      </c>
      <c r="AC346" s="22" t="n"/>
      <c r="AD346" s="27" t="n"/>
    </row>
    <row r="347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3" t="n"/>
      <c r="U347" s="23" t="n"/>
      <c r="V347" s="24">
        <f>IFERROR(O347*U347,0)</f>
        <v/>
      </c>
      <c r="W347" s="22" t="n"/>
      <c r="X347" s="22" t="n"/>
      <c r="Y347" s="25" t="n"/>
      <c r="Z347" s="26" t="n"/>
      <c r="AA347" s="26" t="n"/>
      <c r="AB347" s="24">
        <f>IFERROR(Z347-AA347,0)</f>
        <v/>
      </c>
      <c r="AC347" s="22" t="n"/>
      <c r="AD347" s="27" t="n"/>
    </row>
    <row r="348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3" t="n"/>
      <c r="U348" s="23" t="n"/>
      <c r="V348" s="24">
        <f>IFERROR(O348*U348,0)</f>
        <v/>
      </c>
      <c r="W348" s="22" t="n"/>
      <c r="X348" s="22" t="n"/>
      <c r="Y348" s="25" t="n"/>
      <c r="Z348" s="26" t="n"/>
      <c r="AA348" s="26" t="n"/>
      <c r="AB348" s="24">
        <f>IFERROR(Z348-AA348,0)</f>
        <v/>
      </c>
      <c r="AC348" s="22" t="n"/>
      <c r="AD348" s="27" t="n"/>
    </row>
    <row r="349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3" t="n"/>
      <c r="U349" s="23" t="n"/>
      <c r="V349" s="24">
        <f>IFERROR(O349*U349,0)</f>
        <v/>
      </c>
      <c r="W349" s="22" t="n"/>
      <c r="X349" s="22" t="n"/>
      <c r="Y349" s="25" t="n"/>
      <c r="Z349" s="26" t="n"/>
      <c r="AA349" s="26" t="n"/>
      <c r="AB349" s="24">
        <f>IFERROR(Z349-AA349,0)</f>
        <v/>
      </c>
      <c r="AC349" s="22" t="n"/>
      <c r="AD349" s="27" t="n"/>
    </row>
    <row r="350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3" t="n"/>
      <c r="U350" s="23" t="n"/>
      <c r="V350" s="24">
        <f>IFERROR(O350*U350,0)</f>
        <v/>
      </c>
      <c r="W350" s="22" t="n"/>
      <c r="X350" s="22" t="n"/>
      <c r="Y350" s="25" t="n"/>
      <c r="Z350" s="26" t="n"/>
      <c r="AA350" s="26" t="n"/>
      <c r="AB350" s="24">
        <f>IFERROR(Z350-AA350,0)</f>
        <v/>
      </c>
      <c r="AC350" s="22" t="n"/>
      <c r="AD350" s="27" t="n"/>
    </row>
    <row r="351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3" t="n"/>
      <c r="U351" s="23" t="n"/>
      <c r="V351" s="24">
        <f>IFERROR(O351*U351,0)</f>
        <v/>
      </c>
      <c r="W351" s="22" t="n"/>
      <c r="X351" s="22" t="n"/>
      <c r="Y351" s="25" t="n"/>
      <c r="Z351" s="26" t="n"/>
      <c r="AA351" s="26" t="n"/>
      <c r="AB351" s="24">
        <f>IFERROR(Z351-AA351,0)</f>
        <v/>
      </c>
      <c r="AC351" s="22" t="n"/>
      <c r="AD351" s="27" t="n"/>
    </row>
    <row r="352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3" t="n"/>
      <c r="U352" s="23" t="n"/>
      <c r="V352" s="24">
        <f>IFERROR(O352*U352,0)</f>
        <v/>
      </c>
      <c r="W352" s="22" t="n"/>
      <c r="X352" s="22" t="n"/>
      <c r="Y352" s="25" t="n"/>
      <c r="Z352" s="26" t="n"/>
      <c r="AA352" s="26" t="n"/>
      <c r="AB352" s="24">
        <f>IFERROR(Z352-AA352,0)</f>
        <v/>
      </c>
      <c r="AC352" s="22" t="n"/>
      <c r="AD352" s="27" t="n"/>
    </row>
    <row r="353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3" t="n"/>
      <c r="U353" s="23" t="n"/>
      <c r="V353" s="24">
        <f>IFERROR(O353*U353,0)</f>
        <v/>
      </c>
      <c r="W353" s="22" t="n"/>
      <c r="X353" s="22" t="n"/>
      <c r="Y353" s="25" t="n"/>
      <c r="Z353" s="26" t="n"/>
      <c r="AA353" s="26" t="n"/>
      <c r="AB353" s="24">
        <f>IFERROR(Z353-AA353,0)</f>
        <v/>
      </c>
      <c r="AC353" s="22" t="n"/>
      <c r="AD353" s="27" t="n"/>
    </row>
    <row r="354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3" t="n"/>
      <c r="U354" s="23" t="n"/>
      <c r="V354" s="24">
        <f>IFERROR(O354*U354,0)</f>
        <v/>
      </c>
      <c r="W354" s="22" t="n"/>
      <c r="X354" s="22" t="n"/>
      <c r="Y354" s="25" t="n"/>
      <c r="Z354" s="26" t="n"/>
      <c r="AA354" s="26" t="n"/>
      <c r="AB354" s="24">
        <f>IFERROR(Z354-AA354,0)</f>
        <v/>
      </c>
      <c r="AC354" s="22" t="n"/>
      <c r="AD354" s="27" t="n"/>
    </row>
    <row r="355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3" t="n"/>
      <c r="U355" s="23" t="n"/>
      <c r="V355" s="24">
        <f>IFERROR(O355*U355,0)</f>
        <v/>
      </c>
      <c r="W355" s="22" t="n"/>
      <c r="X355" s="22" t="n"/>
      <c r="Y355" s="25" t="n"/>
      <c r="Z355" s="26" t="n"/>
      <c r="AA355" s="26" t="n"/>
      <c r="AB355" s="24">
        <f>IFERROR(Z355-AA355,0)</f>
        <v/>
      </c>
      <c r="AC355" s="22" t="n"/>
      <c r="AD355" s="27" t="n"/>
    </row>
    <row r="35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3" t="n"/>
      <c r="U356" s="23" t="n"/>
      <c r="V356" s="24">
        <f>IFERROR(O356*U356,0)</f>
        <v/>
      </c>
      <c r="W356" s="22" t="n"/>
      <c r="X356" s="22" t="n"/>
      <c r="Y356" s="25" t="n"/>
      <c r="Z356" s="26" t="n"/>
      <c r="AA356" s="26" t="n"/>
      <c r="AB356" s="24">
        <f>IFERROR(Z356-AA356,0)</f>
        <v/>
      </c>
      <c r="AC356" s="22" t="n"/>
      <c r="AD356" s="27" t="n"/>
    </row>
    <row r="357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3" t="n"/>
      <c r="U357" s="23" t="n"/>
      <c r="V357" s="24">
        <f>IFERROR(O357*U357,0)</f>
        <v/>
      </c>
      <c r="W357" s="22" t="n"/>
      <c r="X357" s="22" t="n"/>
      <c r="Y357" s="25" t="n"/>
      <c r="Z357" s="26" t="n"/>
      <c r="AA357" s="26" t="n"/>
      <c r="AB357" s="24">
        <f>IFERROR(Z357-AA357,0)</f>
        <v/>
      </c>
      <c r="AC357" s="22" t="n"/>
      <c r="AD357" s="27" t="n"/>
    </row>
    <row r="358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3" t="n"/>
      <c r="U358" s="23" t="n"/>
      <c r="V358" s="24">
        <f>IFERROR(O358*U358,0)</f>
        <v/>
      </c>
      <c r="W358" s="22" t="n"/>
      <c r="X358" s="22" t="n"/>
      <c r="Y358" s="25" t="n"/>
      <c r="Z358" s="26" t="n"/>
      <c r="AA358" s="26" t="n"/>
      <c r="AB358" s="24">
        <f>IFERROR(Z358-AA358,0)</f>
        <v/>
      </c>
      <c r="AC358" s="22" t="n"/>
      <c r="AD358" s="27" t="n"/>
    </row>
    <row r="359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3" t="n"/>
      <c r="U359" s="23" t="n"/>
      <c r="V359" s="24">
        <f>IFERROR(O359*U359,0)</f>
        <v/>
      </c>
      <c r="W359" s="22" t="n"/>
      <c r="X359" s="22" t="n"/>
      <c r="Y359" s="25" t="n"/>
      <c r="Z359" s="26" t="n"/>
      <c r="AA359" s="26" t="n"/>
      <c r="AB359" s="24">
        <f>IFERROR(Z359-AA359,0)</f>
        <v/>
      </c>
      <c r="AC359" s="22" t="n"/>
      <c r="AD359" s="27" t="n"/>
    </row>
    <row r="360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3" t="n"/>
      <c r="U360" s="23" t="n"/>
      <c r="V360" s="24">
        <f>IFERROR(O360*U360,0)</f>
        <v/>
      </c>
      <c r="W360" s="22" t="n"/>
      <c r="X360" s="22" t="n"/>
      <c r="Y360" s="25" t="n"/>
      <c r="Z360" s="26" t="n"/>
      <c r="AA360" s="26" t="n"/>
      <c r="AB360" s="24">
        <f>IFERROR(Z360-AA360,0)</f>
        <v/>
      </c>
      <c r="AC360" s="22" t="n"/>
      <c r="AD360" s="27" t="n"/>
    </row>
    <row r="361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3" t="n"/>
      <c r="U361" s="23" t="n"/>
      <c r="V361" s="24">
        <f>IFERROR(O361*U361,0)</f>
        <v/>
      </c>
      <c r="W361" s="22" t="n"/>
      <c r="X361" s="22" t="n"/>
      <c r="Y361" s="25" t="n"/>
      <c r="Z361" s="26" t="n"/>
      <c r="AA361" s="26" t="n"/>
      <c r="AB361" s="24">
        <f>IFERROR(Z361-AA361,0)</f>
        <v/>
      </c>
      <c r="AC361" s="22" t="n"/>
      <c r="AD361" s="27" t="n"/>
    </row>
    <row r="362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3" t="n"/>
      <c r="U362" s="23" t="n"/>
      <c r="V362" s="24">
        <f>IFERROR(O362*U362,0)</f>
        <v/>
      </c>
      <c r="W362" s="22" t="n"/>
      <c r="X362" s="22" t="n"/>
      <c r="Y362" s="25" t="n"/>
      <c r="Z362" s="26" t="n"/>
      <c r="AA362" s="26" t="n"/>
      <c r="AB362" s="24">
        <f>IFERROR(Z362-AA362,0)</f>
        <v/>
      </c>
      <c r="AC362" s="22" t="n"/>
      <c r="AD362" s="27" t="n"/>
    </row>
    <row r="363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3" t="n"/>
      <c r="U363" s="23" t="n"/>
      <c r="V363" s="24">
        <f>IFERROR(O363*U363,0)</f>
        <v/>
      </c>
      <c r="W363" s="22" t="n"/>
      <c r="X363" s="22" t="n"/>
      <c r="Y363" s="25" t="n"/>
      <c r="Z363" s="26" t="n"/>
      <c r="AA363" s="26" t="n"/>
      <c r="AB363" s="24">
        <f>IFERROR(Z363-AA363,0)</f>
        <v/>
      </c>
      <c r="AC363" s="22" t="n"/>
      <c r="AD363" s="27" t="n"/>
    </row>
    <row r="364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3" t="n"/>
      <c r="U364" s="23" t="n"/>
      <c r="V364" s="24">
        <f>IFERROR(O364*U364,0)</f>
        <v/>
      </c>
      <c r="W364" s="22" t="n"/>
      <c r="X364" s="22" t="n"/>
      <c r="Y364" s="25" t="n"/>
      <c r="Z364" s="26" t="n"/>
      <c r="AA364" s="26" t="n"/>
      <c r="AB364" s="24">
        <f>IFERROR(Z364-AA364,0)</f>
        <v/>
      </c>
      <c r="AC364" s="22" t="n"/>
      <c r="AD364" s="27" t="n"/>
    </row>
    <row r="365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3" t="n"/>
      <c r="U365" s="23" t="n"/>
      <c r="V365" s="24">
        <f>IFERROR(O365*U365,0)</f>
        <v/>
      </c>
      <c r="W365" s="22" t="n"/>
      <c r="X365" s="22" t="n"/>
      <c r="Y365" s="25" t="n"/>
      <c r="Z365" s="26" t="n"/>
      <c r="AA365" s="26" t="n"/>
      <c r="AB365" s="24">
        <f>IFERROR(Z365-AA365,0)</f>
        <v/>
      </c>
      <c r="AC365" s="22" t="n"/>
      <c r="AD365" s="27" t="n"/>
    </row>
    <row r="36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3" t="n"/>
      <c r="U366" s="23" t="n"/>
      <c r="V366" s="24">
        <f>IFERROR(O366*U366,0)</f>
        <v/>
      </c>
      <c r="W366" s="22" t="n"/>
      <c r="X366" s="22" t="n"/>
      <c r="Y366" s="25" t="n"/>
      <c r="Z366" s="26" t="n"/>
      <c r="AA366" s="26" t="n"/>
      <c r="AB366" s="24">
        <f>IFERROR(Z366-AA366,0)</f>
        <v/>
      </c>
      <c r="AC366" s="22" t="n"/>
      <c r="AD366" s="27" t="n"/>
    </row>
    <row r="367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3" t="n"/>
      <c r="U367" s="23" t="n"/>
      <c r="V367" s="24">
        <f>IFERROR(O367*U367,0)</f>
        <v/>
      </c>
      <c r="W367" s="22" t="n"/>
      <c r="X367" s="22" t="n"/>
      <c r="Y367" s="25" t="n"/>
      <c r="Z367" s="26" t="n"/>
      <c r="AA367" s="26" t="n"/>
      <c r="AB367" s="24">
        <f>IFERROR(Z367-AA367,0)</f>
        <v/>
      </c>
      <c r="AC367" s="22" t="n"/>
      <c r="AD367" s="27" t="n"/>
    </row>
    <row r="368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3" t="n"/>
      <c r="U368" s="23" t="n"/>
      <c r="V368" s="24">
        <f>IFERROR(O368*U368,0)</f>
        <v/>
      </c>
      <c r="W368" s="22" t="n"/>
      <c r="X368" s="22" t="n"/>
      <c r="Y368" s="25" t="n"/>
      <c r="Z368" s="26" t="n"/>
      <c r="AA368" s="26" t="n"/>
      <c r="AB368" s="24">
        <f>IFERROR(Z368-AA368,0)</f>
        <v/>
      </c>
      <c r="AC368" s="22" t="n"/>
      <c r="AD368" s="27" t="n"/>
    </row>
    <row r="369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3" t="n"/>
      <c r="U369" s="23" t="n"/>
      <c r="V369" s="24">
        <f>IFERROR(O369*U369,0)</f>
        <v/>
      </c>
      <c r="W369" s="22" t="n"/>
      <c r="X369" s="22" t="n"/>
      <c r="Y369" s="25" t="n"/>
      <c r="Z369" s="26" t="n"/>
      <c r="AA369" s="26" t="n"/>
      <c r="AB369" s="24">
        <f>IFERROR(Z369-AA369,0)</f>
        <v/>
      </c>
      <c r="AC369" s="22" t="n"/>
      <c r="AD369" s="27" t="n"/>
    </row>
    <row r="370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3" t="n"/>
      <c r="U370" s="23" t="n"/>
      <c r="V370" s="24">
        <f>IFERROR(O370*U370,0)</f>
        <v/>
      </c>
      <c r="W370" s="22" t="n"/>
      <c r="X370" s="22" t="n"/>
      <c r="Y370" s="25" t="n"/>
      <c r="Z370" s="26" t="n"/>
      <c r="AA370" s="26" t="n"/>
      <c r="AB370" s="24">
        <f>IFERROR(Z370-AA370,0)</f>
        <v/>
      </c>
      <c r="AC370" s="22" t="n"/>
      <c r="AD370" s="27" t="n"/>
    </row>
    <row r="371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3" t="n"/>
      <c r="U371" s="23" t="n"/>
      <c r="V371" s="24">
        <f>IFERROR(O371*U371,0)</f>
        <v/>
      </c>
      <c r="W371" s="22" t="n"/>
      <c r="X371" s="22" t="n"/>
      <c r="Y371" s="25" t="n"/>
      <c r="Z371" s="26" t="n"/>
      <c r="AA371" s="26" t="n"/>
      <c r="AB371" s="24">
        <f>IFERROR(Z371-AA371,0)</f>
        <v/>
      </c>
      <c r="AC371" s="22" t="n"/>
      <c r="AD371" s="27" t="n"/>
    </row>
    <row r="372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3" t="n"/>
      <c r="U372" s="23" t="n"/>
      <c r="V372" s="24">
        <f>IFERROR(O372*U372,0)</f>
        <v/>
      </c>
      <c r="W372" s="22" t="n"/>
      <c r="X372" s="22" t="n"/>
      <c r="Y372" s="25" t="n"/>
      <c r="Z372" s="26" t="n"/>
      <c r="AA372" s="26" t="n"/>
      <c r="AB372" s="24">
        <f>IFERROR(Z372-AA372,0)</f>
        <v/>
      </c>
      <c r="AC372" s="22" t="n"/>
      <c r="AD372" s="27" t="n"/>
    </row>
    <row r="373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3" t="n"/>
      <c r="U373" s="23" t="n"/>
      <c r="V373" s="24">
        <f>IFERROR(O373*U373,0)</f>
        <v/>
      </c>
      <c r="W373" s="22" t="n"/>
      <c r="X373" s="22" t="n"/>
      <c r="Y373" s="25" t="n"/>
      <c r="Z373" s="26" t="n"/>
      <c r="AA373" s="26" t="n"/>
      <c r="AB373" s="24">
        <f>IFERROR(Z373-AA373,0)</f>
        <v/>
      </c>
      <c r="AC373" s="22" t="n"/>
      <c r="AD373" s="27" t="n"/>
    </row>
    <row r="374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3" t="n"/>
      <c r="U374" s="23" t="n"/>
      <c r="V374" s="24">
        <f>IFERROR(O374*U374,0)</f>
        <v/>
      </c>
      <c r="W374" s="22" t="n"/>
      <c r="X374" s="22" t="n"/>
      <c r="Y374" s="25" t="n"/>
      <c r="Z374" s="26" t="n"/>
      <c r="AA374" s="26" t="n"/>
      <c r="AB374" s="24">
        <f>IFERROR(Z374-AA374,0)</f>
        <v/>
      </c>
      <c r="AC374" s="22" t="n"/>
      <c r="AD374" s="27" t="n"/>
    </row>
    <row r="375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3" t="n"/>
      <c r="U375" s="23" t="n"/>
      <c r="V375" s="24">
        <f>IFERROR(O375*U375,0)</f>
        <v/>
      </c>
      <c r="W375" s="22" t="n"/>
      <c r="X375" s="22" t="n"/>
      <c r="Y375" s="25" t="n"/>
      <c r="Z375" s="26" t="n"/>
      <c r="AA375" s="26" t="n"/>
      <c r="AB375" s="24">
        <f>IFERROR(Z375-AA375,0)</f>
        <v/>
      </c>
      <c r="AC375" s="22" t="n"/>
      <c r="AD375" s="27" t="n"/>
    </row>
    <row r="37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3" t="n"/>
      <c r="U376" s="23" t="n"/>
      <c r="V376" s="24">
        <f>IFERROR(O376*U376,0)</f>
        <v/>
      </c>
      <c r="W376" s="22" t="n"/>
      <c r="X376" s="22" t="n"/>
      <c r="Y376" s="25" t="n"/>
      <c r="Z376" s="26" t="n"/>
      <c r="AA376" s="26" t="n"/>
      <c r="AB376" s="24">
        <f>IFERROR(Z376-AA376,0)</f>
        <v/>
      </c>
      <c r="AC376" s="22" t="n"/>
      <c r="AD376" s="27" t="n"/>
    </row>
    <row r="377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3" t="n"/>
      <c r="U377" s="23" t="n"/>
      <c r="V377" s="24">
        <f>IFERROR(O377*U377,0)</f>
        <v/>
      </c>
      <c r="W377" s="22" t="n"/>
      <c r="X377" s="22" t="n"/>
      <c r="Y377" s="25" t="n"/>
      <c r="Z377" s="26" t="n"/>
      <c r="AA377" s="26" t="n"/>
      <c r="AB377" s="24">
        <f>IFERROR(Z377-AA377,0)</f>
        <v/>
      </c>
      <c r="AC377" s="22" t="n"/>
      <c r="AD377" s="27" t="n"/>
    </row>
    <row r="378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3" t="n"/>
      <c r="U378" s="23" t="n"/>
      <c r="V378" s="24">
        <f>IFERROR(O378*U378,0)</f>
        <v/>
      </c>
      <c r="W378" s="22" t="n"/>
      <c r="X378" s="22" t="n"/>
      <c r="Y378" s="25" t="n"/>
      <c r="Z378" s="26" t="n"/>
      <c r="AA378" s="26" t="n"/>
      <c r="AB378" s="24">
        <f>IFERROR(Z378-AA378,0)</f>
        <v/>
      </c>
      <c r="AC378" s="22" t="n"/>
      <c r="AD378" s="27" t="n"/>
    </row>
    <row r="379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3" t="n"/>
      <c r="U379" s="23" t="n"/>
      <c r="V379" s="24">
        <f>IFERROR(O379*U379,0)</f>
        <v/>
      </c>
      <c r="W379" s="22" t="n"/>
      <c r="X379" s="22" t="n"/>
      <c r="Y379" s="25" t="n"/>
      <c r="Z379" s="26" t="n"/>
      <c r="AA379" s="26" t="n"/>
      <c r="AB379" s="24">
        <f>IFERROR(Z379-AA379,0)</f>
        <v/>
      </c>
      <c r="AC379" s="22" t="n"/>
      <c r="AD379" s="27" t="n"/>
    </row>
    <row r="380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3" t="n"/>
      <c r="U380" s="23" t="n"/>
      <c r="V380" s="24">
        <f>IFERROR(O380*U380,0)</f>
        <v/>
      </c>
      <c r="W380" s="22" t="n"/>
      <c r="X380" s="22" t="n"/>
      <c r="Y380" s="25" t="n"/>
      <c r="Z380" s="26" t="n"/>
      <c r="AA380" s="26" t="n"/>
      <c r="AB380" s="24">
        <f>IFERROR(Z380-AA380,0)</f>
        <v/>
      </c>
      <c r="AC380" s="22" t="n"/>
      <c r="AD380" s="27" t="n"/>
    </row>
    <row r="381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3" t="n"/>
      <c r="U381" s="23" t="n"/>
      <c r="V381" s="24">
        <f>IFERROR(O381*U381,0)</f>
        <v/>
      </c>
      <c r="W381" s="22" t="n"/>
      <c r="X381" s="22" t="n"/>
      <c r="Y381" s="25" t="n"/>
      <c r="Z381" s="26" t="n"/>
      <c r="AA381" s="26" t="n"/>
      <c r="AB381" s="24">
        <f>IFERROR(Z381-AA381,0)</f>
        <v/>
      </c>
      <c r="AC381" s="22" t="n"/>
      <c r="AD381" s="27" t="n"/>
    </row>
    <row r="382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3" t="n"/>
      <c r="U382" s="23" t="n"/>
      <c r="V382" s="24">
        <f>IFERROR(O382*U382,0)</f>
        <v/>
      </c>
      <c r="W382" s="22" t="n"/>
      <c r="X382" s="22" t="n"/>
      <c r="Y382" s="25" t="n"/>
      <c r="Z382" s="26" t="n"/>
      <c r="AA382" s="26" t="n"/>
      <c r="AB382" s="24">
        <f>IFERROR(Z382-AA382,0)</f>
        <v/>
      </c>
      <c r="AC382" s="22" t="n"/>
      <c r="AD382" s="27" t="n"/>
    </row>
    <row r="383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3" t="n"/>
      <c r="U383" s="23" t="n"/>
      <c r="V383" s="24">
        <f>IFERROR(O383*U383,0)</f>
        <v/>
      </c>
      <c r="W383" s="22" t="n"/>
      <c r="X383" s="22" t="n"/>
      <c r="Y383" s="25" t="n"/>
      <c r="Z383" s="26" t="n"/>
      <c r="AA383" s="26" t="n"/>
      <c r="AB383" s="24">
        <f>IFERROR(Z383-AA383,0)</f>
        <v/>
      </c>
      <c r="AC383" s="22" t="n"/>
      <c r="AD383" s="27" t="n"/>
    </row>
    <row r="384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3" t="n"/>
      <c r="U384" s="23" t="n"/>
      <c r="V384" s="24">
        <f>IFERROR(O384*U384,0)</f>
        <v/>
      </c>
      <c r="W384" s="22" t="n"/>
      <c r="X384" s="22" t="n"/>
      <c r="Y384" s="25" t="n"/>
      <c r="Z384" s="26" t="n"/>
      <c r="AA384" s="26" t="n"/>
      <c r="AB384" s="24">
        <f>IFERROR(Z384-AA384,0)</f>
        <v/>
      </c>
      <c r="AC384" s="22" t="n"/>
      <c r="AD384" s="27" t="n"/>
    </row>
    <row r="385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3" t="n"/>
      <c r="U385" s="23" t="n"/>
      <c r="V385" s="24">
        <f>IFERROR(O385*U385,0)</f>
        <v/>
      </c>
      <c r="W385" s="22" t="n"/>
      <c r="X385" s="22" t="n"/>
      <c r="Y385" s="25" t="n"/>
      <c r="Z385" s="26" t="n"/>
      <c r="AA385" s="26" t="n"/>
      <c r="AB385" s="24">
        <f>IFERROR(Z385-AA385,0)</f>
        <v/>
      </c>
      <c r="AC385" s="22" t="n"/>
      <c r="AD385" s="27" t="n"/>
    </row>
    <row r="3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3" t="n"/>
      <c r="U386" s="23" t="n"/>
      <c r="V386" s="24">
        <f>IFERROR(O386*U386,0)</f>
        <v/>
      </c>
      <c r="W386" s="22" t="n"/>
      <c r="X386" s="22" t="n"/>
      <c r="Y386" s="25" t="n"/>
      <c r="Z386" s="26" t="n"/>
      <c r="AA386" s="26" t="n"/>
      <c r="AB386" s="24">
        <f>IFERROR(Z386-AA386,0)</f>
        <v/>
      </c>
      <c r="AC386" s="22" t="n"/>
      <c r="AD386" s="27" t="n"/>
    </row>
    <row r="387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3" t="n"/>
      <c r="U387" s="23" t="n"/>
      <c r="V387" s="24">
        <f>IFERROR(O387*U387,0)</f>
        <v/>
      </c>
      <c r="W387" s="22" t="n"/>
      <c r="X387" s="22" t="n"/>
      <c r="Y387" s="25" t="n"/>
      <c r="Z387" s="26" t="n"/>
      <c r="AA387" s="26" t="n"/>
      <c r="AB387" s="24">
        <f>IFERROR(Z387-AA387,0)</f>
        <v/>
      </c>
      <c r="AC387" s="22" t="n"/>
      <c r="AD387" s="27" t="n"/>
    </row>
    <row r="388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3" t="n"/>
      <c r="U388" s="23" t="n"/>
      <c r="V388" s="24">
        <f>IFERROR(O388*U388,0)</f>
        <v/>
      </c>
      <c r="W388" s="22" t="n"/>
      <c r="X388" s="22" t="n"/>
      <c r="Y388" s="25" t="n"/>
      <c r="Z388" s="26" t="n"/>
      <c r="AA388" s="26" t="n"/>
      <c r="AB388" s="24">
        <f>IFERROR(Z388-AA388,0)</f>
        <v/>
      </c>
      <c r="AC388" s="22" t="n"/>
      <c r="AD388" s="27" t="n"/>
    </row>
    <row r="389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3" t="n"/>
      <c r="U389" s="23" t="n"/>
      <c r="V389" s="24">
        <f>IFERROR(O389*U389,0)</f>
        <v/>
      </c>
      <c r="W389" s="22" t="n"/>
      <c r="X389" s="22" t="n"/>
      <c r="Y389" s="25" t="n"/>
      <c r="Z389" s="26" t="n"/>
      <c r="AA389" s="26" t="n"/>
      <c r="AB389" s="24">
        <f>IFERROR(Z389-AA389,0)</f>
        <v/>
      </c>
      <c r="AC389" s="22" t="n"/>
      <c r="AD389" s="27" t="n"/>
    </row>
    <row r="390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3" t="n"/>
      <c r="U390" s="23" t="n"/>
      <c r="V390" s="24">
        <f>IFERROR(O390*U390,0)</f>
        <v/>
      </c>
      <c r="W390" s="22" t="n"/>
      <c r="X390" s="22" t="n"/>
      <c r="Y390" s="25" t="n"/>
      <c r="Z390" s="26" t="n"/>
      <c r="AA390" s="26" t="n"/>
      <c r="AB390" s="24">
        <f>IFERROR(Z390-AA390,0)</f>
        <v/>
      </c>
      <c r="AC390" s="22" t="n"/>
      <c r="AD390" s="27" t="n"/>
    </row>
    <row r="391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3" t="n"/>
      <c r="U391" s="23" t="n"/>
      <c r="V391" s="24">
        <f>IFERROR(O391*U391,0)</f>
        <v/>
      </c>
      <c r="W391" s="22" t="n"/>
      <c r="X391" s="22" t="n"/>
      <c r="Y391" s="25" t="n"/>
      <c r="Z391" s="26" t="n"/>
      <c r="AA391" s="26" t="n"/>
      <c r="AB391" s="24">
        <f>IFERROR(Z391-AA391,0)</f>
        <v/>
      </c>
      <c r="AC391" s="22" t="n"/>
      <c r="AD391" s="27" t="n"/>
    </row>
    <row r="392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3" t="n"/>
      <c r="U392" s="23" t="n"/>
      <c r="V392" s="24">
        <f>IFERROR(O392*U392,0)</f>
        <v/>
      </c>
      <c r="W392" s="22" t="n"/>
      <c r="X392" s="22" t="n"/>
      <c r="Y392" s="25" t="n"/>
      <c r="Z392" s="26" t="n"/>
      <c r="AA392" s="26" t="n"/>
      <c r="AB392" s="24">
        <f>IFERROR(Z392-AA392,0)</f>
        <v/>
      </c>
      <c r="AC392" s="22" t="n"/>
      <c r="AD392" s="27" t="n"/>
    </row>
    <row r="393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3" t="n"/>
      <c r="U393" s="23" t="n"/>
      <c r="V393" s="24">
        <f>IFERROR(O393*U393,0)</f>
        <v/>
      </c>
      <c r="W393" s="22" t="n"/>
      <c r="X393" s="22" t="n"/>
      <c r="Y393" s="25" t="n"/>
      <c r="Z393" s="26" t="n"/>
      <c r="AA393" s="26" t="n"/>
      <c r="AB393" s="24">
        <f>IFERROR(Z393-AA393,0)</f>
        <v/>
      </c>
      <c r="AC393" s="22" t="n"/>
      <c r="AD393" s="27" t="n"/>
    </row>
    <row r="394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3" t="n"/>
      <c r="U394" s="23" t="n"/>
      <c r="V394" s="24">
        <f>IFERROR(O394*U394,0)</f>
        <v/>
      </c>
      <c r="W394" s="22" t="n"/>
      <c r="X394" s="22" t="n"/>
      <c r="Y394" s="25" t="n"/>
      <c r="Z394" s="26" t="n"/>
      <c r="AA394" s="26" t="n"/>
      <c r="AB394" s="24">
        <f>IFERROR(Z394-AA394,0)</f>
        <v/>
      </c>
      <c r="AC394" s="22" t="n"/>
      <c r="AD394" s="27" t="n"/>
    </row>
    <row r="395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3" t="n"/>
      <c r="U395" s="23" t="n"/>
      <c r="V395" s="24">
        <f>IFERROR(O395*U395,0)</f>
        <v/>
      </c>
      <c r="W395" s="22" t="n"/>
      <c r="X395" s="22" t="n"/>
      <c r="Y395" s="25" t="n"/>
      <c r="Z395" s="26" t="n"/>
      <c r="AA395" s="26" t="n"/>
      <c r="AB395" s="24">
        <f>IFERROR(Z395-AA395,0)</f>
        <v/>
      </c>
      <c r="AC395" s="22" t="n"/>
      <c r="AD395" s="27" t="n"/>
    </row>
    <row r="39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3" t="n"/>
      <c r="U396" s="23" t="n"/>
      <c r="V396" s="24">
        <f>IFERROR(O396*U396,0)</f>
        <v/>
      </c>
      <c r="W396" s="22" t="n"/>
      <c r="X396" s="22" t="n"/>
      <c r="Y396" s="25" t="n"/>
      <c r="Z396" s="26" t="n"/>
      <c r="AA396" s="26" t="n"/>
      <c r="AB396" s="24">
        <f>IFERROR(Z396-AA396,0)</f>
        <v/>
      </c>
      <c r="AC396" s="22" t="n"/>
      <c r="AD396" s="27" t="n"/>
    </row>
    <row r="397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3" t="n"/>
      <c r="U397" s="23" t="n"/>
      <c r="V397" s="24">
        <f>IFERROR(O397*U397,0)</f>
        <v/>
      </c>
      <c r="W397" s="22" t="n"/>
      <c r="X397" s="22" t="n"/>
      <c r="Y397" s="25" t="n"/>
      <c r="Z397" s="26" t="n"/>
      <c r="AA397" s="26" t="n"/>
      <c r="AB397" s="24">
        <f>IFERROR(Z397-AA397,0)</f>
        <v/>
      </c>
      <c r="AC397" s="22" t="n"/>
      <c r="AD397" s="27" t="n"/>
    </row>
    <row r="398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3" t="n"/>
      <c r="U398" s="23" t="n"/>
      <c r="V398" s="24">
        <f>IFERROR(O398*U398,0)</f>
        <v/>
      </c>
      <c r="W398" s="22" t="n"/>
      <c r="X398" s="22" t="n"/>
      <c r="Y398" s="25" t="n"/>
      <c r="Z398" s="26" t="n"/>
      <c r="AA398" s="26" t="n"/>
      <c r="AB398" s="24">
        <f>IFERROR(Z398-AA398,0)</f>
        <v/>
      </c>
      <c r="AC398" s="22" t="n"/>
      <c r="AD398" s="27" t="n"/>
    </row>
    <row r="399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3" t="n"/>
      <c r="U399" s="23" t="n"/>
      <c r="V399" s="24">
        <f>IFERROR(O399*U399,0)</f>
        <v/>
      </c>
      <c r="W399" s="22" t="n"/>
      <c r="X399" s="22" t="n"/>
      <c r="Y399" s="25" t="n"/>
      <c r="Z399" s="26" t="n"/>
      <c r="AA399" s="26" t="n"/>
      <c r="AB399" s="24">
        <f>IFERROR(Z399-AA399,0)</f>
        <v/>
      </c>
      <c r="AC399" s="22" t="n"/>
      <c r="AD399" s="27" t="n"/>
    </row>
    <row r="400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3" t="n"/>
      <c r="U400" s="23" t="n"/>
      <c r="V400" s="24">
        <f>IFERROR(O400*U400,0)</f>
        <v/>
      </c>
      <c r="W400" s="22" t="n"/>
      <c r="X400" s="22" t="n"/>
      <c r="Y400" s="25" t="n"/>
      <c r="Z400" s="26" t="n"/>
      <c r="AA400" s="26" t="n"/>
      <c r="AB400" s="24">
        <f>IFERROR(Z400-AA400,0)</f>
        <v/>
      </c>
      <c r="AC400" s="22" t="n"/>
      <c r="AD400" s="27" t="n"/>
    </row>
    <row r="401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3" t="n"/>
      <c r="U401" s="23" t="n"/>
      <c r="V401" s="24">
        <f>IFERROR(O401*U401,0)</f>
        <v/>
      </c>
      <c r="W401" s="22" t="n"/>
      <c r="X401" s="22" t="n"/>
      <c r="Y401" s="25" t="n"/>
      <c r="Z401" s="26" t="n"/>
      <c r="AA401" s="26" t="n"/>
      <c r="AB401" s="24">
        <f>IFERROR(Z401-AA401,0)</f>
        <v/>
      </c>
      <c r="AC401" s="22" t="n"/>
      <c r="AD401" s="27" t="n"/>
    </row>
  </sheetData>
  <autoFilter ref="A1:AD401"/>
  <dataValidations count="9">
    <dataValidation sqref="S2:S401" showDropDown="0" showInputMessage="0" showErrorMessage="0" allowBlank="1" errorTitle="Valeur non autorisée" error="Choisis une valeur dans la liste." type="list">
      <formula1>"A,B,C"</formula1>
    </dataValidation>
    <dataValidation sqref="X2:X401" showDropDown="0" showInputMessage="0" showErrorMessage="0" allowBlank="1" errorTitle="Valeur non autorisée" error="Choisis une valeur dans la liste." type="list">
      <formula1>"À photographier,Photographiée,Prête,En ligne,Négociation,VENDUE,Retirée,Invendue"</formula1>
    </dataValidation>
    <dataValidation sqref="P2:P401" showDropDown="0" showInputMessage="0" showErrorMessage="0" allowBlank="1" errorTitle="Valeur non autorisée" error="Choisis une valeur dans la liste." type="list">
      <formula1>"Neuf,Très bon,Bon,Défauts légers,Défauts importants"</formula1>
    </dataValidation>
    <dataValidation sqref="I2:I401" showDropDown="0" showInputMessage="0" showErrorMessage="0" allowBlank="1" errorTitle="Valeur non autorisée" error="Choisis une valeur dans la liste." type="list">
      <formula1>"Oui,Non,À vérifier"</formula1>
    </dataValidation>
    <dataValidation sqref="N2:N401" showDropDown="0" showInputMessage="0" showErrorMessage="0" allowBlank="1" errorTitle="Valeur non autorisée" error="Choisis une valeur dans la liste." type="list">
      <formula1>"Oui,Non"</formula1>
    </dataValidation>
    <dataValidation sqref="Q2:Q401" showDropDown="0" showInputMessage="0" showErrorMessage="0" allowBlank="1" errorTitle="Valeur non autorisée" error="Choisis une valeur dans la liste." type="list">
      <formula1>"Oui,Non"</formula1>
    </dataValidation>
    <dataValidation sqref="R2:R401" showDropDown="0" showInputMessage="0" showErrorMessage="0" allowBlank="1" errorTitle="Valeur non autorisée" error="Choisis une valeur dans la liste." type="list">
      <formula1>"Oui — litho,Non — offset,À faire"</formula1>
    </dataValidation>
    <dataValidation sqref="H2:H401" showDropDown="0" showInputMessage="0" showErrorMessage="0" allowBlank="1" errorTitle="Valeur non autorisée" error="Choisis une valeur dans la liste." type="list">
      <formula1>"Numérotée,EA / Épreuve d'artiste,HC / Hors commerce,Non numérotée"</formula1>
    </dataValidation>
    <dataValidation sqref="W2:W401" showDropDown="0" showInputMessage="0" showErrorMessage="0" allowBlank="1" errorTitle="Valeur non autorisée" error="Choisis une valeur dans la liste." type="list">
      <formula1>"Enchères Drouot / Interencheres,Catawiki,eBay,Le Bon Coin,Marchand en gros,Galerie / dépôt-vente,Etsy,Salon / marché,À déterminer"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16" customWidth="1" min="4" max="4"/>
    <col width="16" customWidth="1" min="5" max="5"/>
    <col width="14" customWidth="1" min="6" max="6"/>
    <col width="46" customWidth="1" min="7" max="7"/>
  </cols>
  <sheetData>
    <row r="1">
      <c r="B1" s="1" t="inlineStr">
        <is>
          <t>Repères de prix observés</t>
        </is>
      </c>
    </row>
    <row r="2" ht="28" customHeight="1">
      <c r="B2" s="19" t="inlineStr">
        <is>
          <t>Distinction capitale : un PRIX DEMANDÉ n'est pas un PRIX OBTENU. Les galeries affichent 400-1 200 € ; les enchères adjugent 50-250 €.</t>
        </is>
      </c>
    </row>
    <row r="4">
      <c r="B4" s="28" t="inlineStr">
        <is>
          <t>Artiste</t>
        </is>
      </c>
      <c r="C4" s="28" t="inlineStr">
        <is>
          <t>Référence observée</t>
        </is>
      </c>
      <c r="D4" s="28" t="inlineStr">
        <is>
          <t>Type de prix</t>
        </is>
      </c>
      <c r="E4" s="28" t="inlineStr">
        <is>
          <t>Bas (€)</t>
        </is>
      </c>
      <c r="F4" s="28" t="inlineStr">
        <is>
          <t>Haut (€)</t>
        </is>
      </c>
      <c r="G4" s="28" t="inlineStr">
        <is>
          <t>Source</t>
        </is>
      </c>
    </row>
    <row r="5" ht="28" customHeight="1">
      <c r="B5" s="29" t="inlineStr">
        <is>
          <t>Louis Toffoli</t>
        </is>
      </c>
      <c r="C5" s="29" t="inlineStr">
        <is>
          <t>« Maternité », litho couleurs 50x65, 53/150</t>
        </is>
      </c>
      <c r="D5" s="29" t="inlineStr">
        <is>
          <t>ADJUGÉ (2021)</t>
        </is>
      </c>
      <c r="E5" s="30" t="n">
        <v>100</v>
      </c>
      <c r="F5" s="30" t="n">
        <v>100</v>
      </c>
      <c r="G5" s="29" t="inlineStr">
        <is>
          <t>mw-encheres.com — estimée 60-80 €, adjugée 100 €</t>
        </is>
      </c>
    </row>
    <row r="6" ht="28" customHeight="1">
      <c r="B6" s="31" t="inlineStr">
        <is>
          <t>Louis Toffoli</t>
        </is>
      </c>
      <c r="C6" s="31" t="inlineStr">
        <is>
          <t>« Couple sur un banc », litho sur japon 50x73</t>
        </is>
      </c>
      <c r="D6" s="31" t="inlineStr">
        <is>
          <t>Estimation salle (2023)</t>
        </is>
      </c>
      <c r="E6" s="32" t="n">
        <v>50</v>
      </c>
      <c r="F6" s="32" t="n">
        <v>100</v>
      </c>
      <c r="G6" s="31" t="inlineStr">
        <is>
          <t>richardmdv.com, vente du 12/12/2023</t>
        </is>
      </c>
    </row>
    <row r="7" ht="28" customHeight="1">
      <c r="B7" s="29" t="inlineStr">
        <is>
          <t>Louis Toffoli</t>
        </is>
      </c>
      <c r="C7" s="29" t="inlineStr">
        <is>
          <t>Fourchette générale des estampes en salle</t>
        </is>
      </c>
      <c r="D7" s="29" t="inlineStr">
        <is>
          <t>Adjugé (marché)</t>
        </is>
      </c>
      <c r="E7" s="30" t="n">
        <v>30</v>
      </c>
      <c r="F7" s="30" t="n">
        <v>300</v>
      </c>
      <c r="G7" s="29" t="inlineStr">
        <is>
          <t>mr-expert.com / expertisez.com</t>
        </is>
      </c>
    </row>
    <row r="8" ht="28" customHeight="1">
      <c r="B8" s="33" t="inlineStr">
        <is>
          <t>Louis Toffoli</t>
        </is>
      </c>
      <c r="C8" s="33" t="inlineStr">
        <is>
          <t>Annonces particuliers et galeries</t>
        </is>
      </c>
      <c r="D8" s="33" t="inlineStr">
        <is>
          <t>PRIX DEMANDÉ</t>
        </is>
      </c>
      <c r="E8" s="34" t="n">
        <v>120</v>
      </c>
      <c r="F8" s="34" t="n">
        <v>1090</v>
      </c>
      <c r="G8" s="33" t="inlineStr">
        <is>
          <t>leboncoin, eBay, passion-estampes</t>
        </is>
      </c>
    </row>
    <row r="9" ht="28" customHeight="1">
      <c r="B9" s="31" t="inlineStr">
        <is>
          <t>Claude Weisbuch</t>
        </is>
      </c>
      <c r="C9" s="31" t="inlineStr">
        <is>
          <t>« Grande parade », litho signée BD</t>
        </is>
      </c>
      <c r="D9" s="31" t="inlineStr">
        <is>
          <t>Estimation salle (2025)</t>
        </is>
      </c>
      <c r="E9" s="32" t="n">
        <v>200</v>
      </c>
      <c r="F9" s="32" t="n">
        <v>300</v>
      </c>
      <c r="G9" s="31" t="inlineStr">
        <is>
          <t>primardeco.com</t>
        </is>
      </c>
    </row>
    <row r="10" ht="28" customHeight="1">
      <c r="B10" s="29" t="inlineStr">
        <is>
          <t>Claude Weisbuch</t>
        </is>
      </c>
      <c r="C10" s="29" t="inlineStr">
        <is>
          <t>Fourchette générale des multiples</t>
        </is>
      </c>
      <c r="D10" s="29" t="inlineStr">
        <is>
          <t>Adjugé (marché)</t>
        </is>
      </c>
      <c r="E10" s="30" t="n">
        <v>30</v>
      </c>
      <c r="F10" s="30" t="n">
        <v>400</v>
      </c>
      <c r="G10" s="29" t="inlineStr">
        <is>
          <t>mr-expert.com</t>
        </is>
      </c>
    </row>
    <row r="11" ht="28" customHeight="1">
      <c r="B11" s="33" t="inlineStr">
        <is>
          <t>Claude Weisbuch</t>
        </is>
      </c>
      <c r="C11" s="33" t="inlineStr">
        <is>
          <t>« Deux Cavaliers », litho signée /125</t>
        </is>
      </c>
      <c r="D11" s="33" t="inlineStr">
        <is>
          <t>PRIX DEMANDÉ</t>
        </is>
      </c>
      <c r="E11" s="34" t="n">
        <v>487</v>
      </c>
      <c r="F11" s="34" t="n">
        <v>487</v>
      </c>
      <c r="G11" s="33" t="inlineStr">
        <is>
          <t>1stdibs.com</t>
        </is>
      </c>
    </row>
    <row r="13">
      <c r="B13" s="3" t="inlineStr">
        <is>
          <t>Ce que disent les experts du marché</t>
        </is>
      </c>
    </row>
    <row r="14" ht="32" customHeight="1">
      <c r="B14" s="5" t="inlineStr">
        <is>
          <t>Toffoli</t>
        </is>
      </c>
      <c r="C14" s="6" t="inlineStr">
        <is>
          <t>« Très nombreuses sur le marché de l'art, la réelle valeur des estampes est aujourd'hui très faible. » — expertisez.com</t>
        </is>
      </c>
    </row>
    <row r="15" ht="32" customHeight="1">
      <c r="B15" s="5" t="inlineStr">
        <is>
          <t>Weisbuch</t>
        </is>
      </c>
      <c r="C15" s="6" t="inlineStr">
        <is>
          <t>« La cote subit une tendance à la baisse et une désaffection des acquéreurs, car les estimations trop élevées ne trouvent pas d'acheteurs. » — mr-expert.com</t>
        </is>
      </c>
    </row>
    <row r="16" ht="32" customHeight="1">
      <c r="B16" s="5" t="inlineStr">
        <is>
          <t>Conséquence</t>
        </is>
      </c>
      <c r="C16" s="6" t="inlineStr">
        <is>
          <t>Le prix affiché n'est pas le problème : c'est le prix auquel un acheteur clique. Vise le haut de la fourchette ADJUGÉE, pas le bas de la fourchette DEMANDÉE.</t>
        </is>
      </c>
    </row>
    <row r="19">
      <c r="B19" s="3" t="inlineStr">
        <is>
          <t>Ce qui fait monter le prix</t>
        </is>
      </c>
    </row>
    <row r="20">
      <c r="C20" s="4" t="inlineStr">
        <is>
          <t>•  Petit tirage (moins de 150) plutôt que 250-300.</t>
        </is>
      </c>
    </row>
    <row r="21">
      <c r="C21" s="4" t="inlineStr">
        <is>
          <t>•  Sujet recherché : musiciens, maternités, marines, travailleurs pour Toffoli ; cavaliers, musiciens, théâtre pour Weisbuch.</t>
        </is>
      </c>
    </row>
    <row r="22">
      <c r="C22" s="4" t="inlineStr">
        <is>
          <t>•  Épreuve d'artiste (EA) ou hors commerce (HC) plutôt qu'un simple numéro.</t>
        </is>
      </c>
    </row>
    <row r="23">
      <c r="C23" s="4" t="inlineStr">
        <is>
          <t>•  Vraie lithographie sur pierre (grain irrégulier) plutôt qu'un offset signé.</t>
        </is>
      </c>
    </row>
    <row r="24">
      <c r="C24" s="4" t="inlineStr">
        <is>
          <t>•  Papier de qualité à bords barbés (Arches, BFK Rives) + timbre sec d'atelier.</t>
        </is>
      </c>
    </row>
    <row r="25">
      <c r="C25" s="4" t="inlineStr">
        <is>
          <t>•  État neuf, marges intactes, jamais encadré sous verre sans marie-louise.</t>
        </is>
      </c>
    </row>
  </sheetData>
  <mergeCells count="9">
    <mergeCell ref="C21:G21"/>
    <mergeCell ref="C20:G20"/>
    <mergeCell ref="C24:G24"/>
    <mergeCell ref="C16:G16"/>
    <mergeCell ref="C15:G15"/>
    <mergeCell ref="C25:G25"/>
    <mergeCell ref="C14:G14"/>
    <mergeCell ref="C23:G23"/>
    <mergeCell ref="C22:G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72" customWidth="1" min="4" max="4"/>
    <col width="14" customWidth="1" min="5" max="5"/>
  </cols>
  <sheetData>
    <row r="1">
      <c r="B1" s="1" t="inlineStr">
        <is>
          <t>Plan de vente — quelques heures par semaine</t>
        </is>
      </c>
    </row>
    <row r="2">
      <c r="B2" s="2" t="inlineStr">
        <is>
          <t>Objectif : maximiser le prix. Horizon réaliste : 18 à 24 mois.</t>
        </is>
      </c>
    </row>
    <row r="4">
      <c r="B4" s="35" t="inlineStr">
        <is>
          <t>Période</t>
        </is>
      </c>
      <c r="C4" s="35" t="inlineStr">
        <is>
          <t>Action</t>
        </is>
      </c>
      <c r="D4" s="35" t="inlineStr">
        <is>
          <t>Détail</t>
        </is>
      </c>
      <c r="E4" s="35" t="inlineStr">
        <is>
          <t>Fait ?</t>
        </is>
      </c>
    </row>
    <row r="5" ht="46" customHeight="1">
      <c r="B5" s="29" t="inlineStr">
        <is>
          <t>Semaines 1-3</t>
        </is>
      </c>
      <c r="C5" s="31" t="inlineStr">
        <is>
          <t>Inventaire complet</t>
        </is>
      </c>
      <c r="D5" s="31" t="inlineStr">
        <is>
          <t>Photographier et saisir les 300 pièces. 20 par séance. Pour chaque : vue entière + macro de la signature + macro de la numérotation. Fond blanc, lumière du jour, pas de flash.</t>
        </is>
      </c>
      <c r="E5" s="36" t="inlineStr"/>
    </row>
    <row r="6" ht="46" customHeight="1">
      <c r="B6" s="29" t="inlineStr">
        <is>
          <t>Semaine 2</t>
        </is>
      </c>
      <c r="C6" s="31" t="inlineStr">
        <is>
          <t>Test loupe x10</t>
        </is>
      </c>
      <c r="D6" s="31" t="inlineStr">
        <is>
          <t>Sur 10 pièces représentatives : grain irrégulier = vraie litho ; trame de points réguliers = offset. Décide du vocabulaire de tes annonces en conséquence.</t>
        </is>
      </c>
      <c r="E6" s="36" t="inlineStr"/>
    </row>
    <row r="7" ht="46" customHeight="1">
      <c r="B7" s="29" t="inlineStr">
        <is>
          <t>Semaine 3</t>
        </is>
      </c>
      <c r="C7" s="31" t="inlineStr">
        <is>
          <t>Identifier les artistes manquants</t>
        </is>
      </c>
      <c r="D7" s="31" t="inlineStr">
        <is>
          <t>Photo macro de chaque signature illisible. Recouper avec les certificats d'authenticité et les bons de livraison de l'éditeur.</t>
        </is>
      </c>
      <c r="E7" s="36" t="inlineStr"/>
    </row>
    <row r="8" ht="46" customHeight="1">
      <c r="B8" s="29" t="inlineStr">
        <is>
          <t>Semaine 4</t>
        </is>
      </c>
      <c r="C8" s="31" t="inlineStr">
        <is>
          <t>Segmentation A / B / C</t>
        </is>
      </c>
      <c r="D8" s="31" t="inlineStr">
        <is>
          <t>Croiser artiste + sujet + tirage + doubles. Vise environ 15 % en A, 45 % en B, 40 % en C.</t>
        </is>
      </c>
      <c r="E8" s="36" t="inlineStr"/>
    </row>
    <row r="9" ht="46" customHeight="1">
      <c r="B9" s="29" t="inlineStr">
        <is>
          <t>Semaines 5-8</t>
        </is>
      </c>
      <c r="C9" s="31" t="inlineStr">
        <is>
          <t>Test de marché</t>
        </is>
      </c>
      <c r="D9" s="31" t="inlineStr">
        <is>
          <t>Mettre en vente 8 à 10 pièces seulement : 3 en enchères (Drouot Online / Interencheres), 3 sur eBay au prix cible, 3 sur Le Bon Coin en remise en main propre Paris. Noter les prix obtenus.</t>
        </is>
      </c>
      <c r="E9" s="36" t="inlineStr"/>
    </row>
    <row r="10" ht="46" customHeight="1">
      <c r="B10" s="29" t="inlineStr">
        <is>
          <t>Semaine 9</t>
        </is>
      </c>
      <c r="C10" s="31" t="inlineStr">
        <is>
          <t>Recalibrer</t>
        </is>
      </c>
      <c r="D10" s="31" t="inlineStr">
        <is>
          <t>Réviser tous les prix cibles à partir des résultats réels. C'est ici que le tableau de bord sert.</t>
        </is>
      </c>
      <c r="E10" s="36" t="inlineStr"/>
    </row>
    <row r="11" ht="46" customHeight="1">
      <c r="B11" s="29" t="inlineStr">
        <is>
          <t>Mois 3-12</t>
        </is>
      </c>
      <c r="C11" s="31" t="inlineStr">
        <is>
          <t>Écoulement du segment A puis B</t>
        </is>
      </c>
      <c r="D11" s="31" t="inlineStr">
        <is>
          <t>5 à 10 annonces actives en permanence, jamais deux fois la même image. Renouveler chaque pièce vendue.</t>
        </is>
      </c>
      <c r="E11" s="36" t="inlineStr"/>
    </row>
    <row r="12" ht="46" customHeight="1">
      <c r="B12" s="29" t="inlineStr">
        <is>
          <t>Mois 3-24</t>
        </is>
      </c>
      <c r="C12" s="31" t="inlineStr">
        <is>
          <t>Segment C en lots</t>
        </is>
      </c>
      <c r="D12" s="31" t="inlineStr">
        <is>
          <t>Lots thématiques de 5 à 20 sur eBay/Catawiki, ou cession en bloc à un marchand (compter 20-30 % du prix de détail, mais tout part d'un coup).</t>
        </is>
      </c>
      <c r="E12" s="36" t="inlineStr"/>
    </row>
    <row r="13" ht="46" customHeight="1">
      <c r="B13" s="29" t="inlineStr">
        <is>
          <t>En parallèle</t>
        </is>
      </c>
      <c r="C13" s="31" t="inlineStr">
        <is>
          <t>Consignation en salle</t>
        </is>
      </c>
      <c r="D13" s="31" t="inlineStr">
        <is>
          <t>Prendre rendez-vous avec 2-3 maisons parisiennes (Drouot, Millon, Lucien Paris, Richard). Estimation gratuite. Leur confier des lots groupés d'artistes secondaires.</t>
        </is>
      </c>
      <c r="E13" s="36" t="inlineStr"/>
    </row>
    <row r="14" ht="46" customHeight="1">
      <c r="B14" s="29" t="inlineStr">
        <is>
          <t>En continu</t>
        </is>
      </c>
      <c r="C14" s="31" t="inlineStr">
        <is>
          <t>Logistique</t>
        </is>
      </c>
      <c r="D14" s="31" t="inlineStr">
        <is>
          <t>Tubes rigides Ø10 cm et pochettes cristal. Pour du 56x76, la remise en main propre à Paris évite 15-25 € de port et les litiges pour pliure — privilégie-la.</t>
        </is>
      </c>
      <c r="E14" s="36" t="inlineStr"/>
    </row>
    <row r="17">
      <c r="B17" s="3" t="inlineStr">
        <is>
          <t>Comparatif des canaux</t>
        </is>
      </c>
    </row>
    <row r="18">
      <c r="B18" s="28" t="inlineStr">
        <is>
          <t>Canal</t>
        </is>
      </c>
      <c r="C18" s="28" t="inlineStr">
        <is>
          <t>Frais vendeur</t>
        </is>
      </c>
      <c r="D18" s="28" t="inlineStr">
        <is>
          <t>Vitesse / effort</t>
        </is>
      </c>
      <c r="E18" s="28" t="inlineStr">
        <is>
          <t>Pour quel segment</t>
        </is>
      </c>
    </row>
    <row r="19" ht="30" customHeight="1">
      <c r="B19" s="31" t="inlineStr">
        <is>
          <t>Le Bon Coin (Paris)</t>
        </is>
      </c>
      <c r="C19" s="31" t="inlineStr">
        <is>
          <t>0 %</t>
        </is>
      </c>
      <c r="D19" s="31" t="inlineStr">
        <is>
          <t>Rapide, main propre, zéro port</t>
        </is>
      </c>
      <c r="E19" s="31" t="inlineStr">
        <is>
          <t>A et B — le meilleur rapport effort/net pour du 56x76</t>
        </is>
      </c>
    </row>
    <row r="20" ht="30" customHeight="1">
      <c r="B20" s="31" t="inlineStr">
        <is>
          <t>eBay</t>
        </is>
      </c>
      <c r="C20" s="31" t="inlineStr">
        <is>
          <t>~12 % + port</t>
        </is>
      </c>
      <c r="D20" s="31" t="inlineStr">
        <is>
          <t>Moyen, audience large</t>
        </is>
      </c>
      <c r="E20" s="31" t="inlineStr">
        <is>
          <t>A et B, et lots du segment C</t>
        </is>
      </c>
    </row>
    <row r="21" ht="30" customHeight="1">
      <c r="B21" s="31" t="inlineStr">
        <is>
          <t>Catawiki</t>
        </is>
      </c>
      <c r="C21" s="31" t="inlineStr">
        <is>
          <t>~12,5 % vendeur</t>
        </is>
      </c>
      <c r="D21" s="31" t="inlineStr">
        <is>
          <t>Lent (sélection), acheteurs internationaux</t>
        </is>
      </c>
      <c r="E21" s="31" t="inlineStr">
        <is>
          <t>A surtout — met en valeur les belles pièces</t>
        </is>
      </c>
    </row>
    <row r="22" ht="30" customHeight="1">
      <c r="B22" s="31" t="inlineStr">
        <is>
          <t>Enchères en salle</t>
        </is>
      </c>
      <c r="C22" s="31" t="inlineStr">
        <is>
          <t>15-25 % + frais</t>
        </is>
      </c>
      <c r="D22" s="31" t="inlineStr">
        <is>
          <t>Aucun effort, mais prix bas et invendus</t>
        </is>
      </c>
      <c r="E22" s="31" t="inlineStr">
        <is>
          <t>C et doubles, ou test de marché</t>
        </is>
      </c>
    </row>
    <row r="23" ht="30" customHeight="1">
      <c r="B23" s="31" t="inlineStr">
        <is>
          <t>Marchand en gros</t>
        </is>
      </c>
      <c r="C23" s="31" t="inlineStr">
        <is>
          <t>20-30 % du détail</t>
        </is>
      </c>
      <c r="D23" s="31" t="inlineStr">
        <is>
          <t>Immédiat, tout part</t>
        </is>
      </c>
      <c r="E23" s="31" t="inlineStr">
        <is>
          <t>C — la queue de collection</t>
        </is>
      </c>
    </row>
    <row r="24" ht="30" customHeight="1">
      <c r="B24" s="31" t="inlineStr">
        <is>
          <t>Etsy</t>
        </is>
      </c>
      <c r="C24" s="31" t="inlineStr">
        <is>
          <t>~9 % + port</t>
        </is>
      </c>
      <c r="D24" s="31" t="inlineStr">
        <is>
          <t>Lent, marché déco international</t>
        </is>
      </c>
      <c r="E24" s="31" t="inlineStr">
        <is>
          <t>B, sujets décoratifs</t>
        </is>
      </c>
    </row>
    <row r="25" ht="30" customHeight="1">
      <c r="B25" s="31" t="inlineStr">
        <is>
          <t>Galerie en dépôt-vente</t>
        </is>
      </c>
      <c r="C25" s="31" t="inlineStr">
        <is>
          <t>30-50 %</t>
        </is>
      </c>
      <c r="D25" s="31" t="inlineStr">
        <is>
          <t>Très lent</t>
        </is>
      </c>
      <c r="E25" s="31" t="inlineStr">
        <is>
          <t>A uniquement, si la galerie est spécialisée estampe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2026-08-16T16:57:59Z</dcterms:created>
  <dcterms:modified xsi:type="dcterms:W3CDTF">2026-08-16T16:58:00Z</dcterms:modified>
</cp:coreProperties>
</file>